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nalysis" sheetId="2" r:id="rId6"/>
    <sheet state="visible" name="Regression" sheetId="3" r:id="rId7"/>
  </sheets>
  <definedNames/>
  <calcPr/>
</workbook>
</file>

<file path=xl/sharedStrings.xml><?xml version="1.0" encoding="utf-8"?>
<sst xmlns="http://schemas.openxmlformats.org/spreadsheetml/2006/main" count="118" uniqueCount="91">
  <si>
    <t>Date</t>
  </si>
  <si>
    <t>Open</t>
  </si>
  <si>
    <t>High</t>
  </si>
  <si>
    <t>Low</t>
  </si>
  <si>
    <t>Close</t>
  </si>
  <si>
    <t>Visa Inc. (V)</t>
  </si>
  <si>
    <t>Volume</t>
  </si>
  <si>
    <t>The Coca-Cola Company (KO)</t>
  </si>
  <si>
    <t xml:space="preserve">  </t>
  </si>
  <si>
    <t>0.67 Dividend</t>
  </si>
  <si>
    <t>0.51 Dividend</t>
  </si>
  <si>
    <t>0.59 Dividend</t>
  </si>
  <si>
    <t>V</t>
  </si>
  <si>
    <t>KO</t>
  </si>
  <si>
    <t>Weekly return for V</t>
  </si>
  <si>
    <t>Weekly return for KO</t>
  </si>
  <si>
    <t>Statistics</t>
  </si>
  <si>
    <t>Сoefficients</t>
  </si>
  <si>
    <t>Max</t>
  </si>
  <si>
    <t xml:space="preserve">Risk-free rate </t>
  </si>
  <si>
    <t>Min</t>
  </si>
  <si>
    <t>Sharpe ratio</t>
  </si>
  <si>
    <t>Range:</t>
  </si>
  <si>
    <t>Zmax</t>
  </si>
  <si>
    <t>Zmin</t>
  </si>
  <si>
    <t>Q3</t>
  </si>
  <si>
    <t>Q1</t>
  </si>
  <si>
    <t>IQR</t>
  </si>
  <si>
    <t>Mean</t>
  </si>
  <si>
    <t>Mean Absolute Deviation</t>
  </si>
  <si>
    <t>Variance</t>
  </si>
  <si>
    <t>Standard Deviation</t>
  </si>
  <si>
    <t>CV</t>
  </si>
  <si>
    <t>SUMMARY OUTPUT</t>
  </si>
  <si>
    <t>Regression Statistics</t>
  </si>
  <si>
    <t>Multiple R</t>
  </si>
  <si>
    <t>0,321993</t>
  </si>
  <si>
    <t>R Square</t>
  </si>
  <si>
    <t>0,10368</t>
  </si>
  <si>
    <t>Adjusted R Square</t>
  </si>
  <si>
    <t>0,084609</t>
  </si>
  <si>
    <t>Standard Error</t>
  </si>
  <si>
    <t>0,028106</t>
  </si>
  <si>
    <t>Observations</t>
  </si>
  <si>
    <t>49</t>
  </si>
  <si>
    <t>ANOVA</t>
  </si>
  <si>
    <t>df</t>
  </si>
  <si>
    <t>SS</t>
  </si>
  <si>
    <t>MS</t>
  </si>
  <si>
    <t>F</t>
  </si>
  <si>
    <t>Significance F</t>
  </si>
  <si>
    <t>Regression</t>
  </si>
  <si>
    <t>1</t>
  </si>
  <si>
    <t>0,004295</t>
  </si>
  <si>
    <t>5,436604</t>
  </si>
  <si>
    <t>0,024056</t>
  </si>
  <si>
    <t>Residual</t>
  </si>
  <si>
    <t>47</t>
  </si>
  <si>
    <t>0,037127</t>
  </si>
  <si>
    <t>0,00079</t>
  </si>
  <si>
    <t>Total</t>
  </si>
  <si>
    <t>48</t>
  </si>
  <si>
    <t>0,041422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</si>
  <si>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</si>
  <si>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</si>
  <si>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</si>
  <si>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</si>
  <si>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</si>
  <si>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</si>
  <si>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</si>
  <si>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</si>
  <si>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-0,00316</t>
  </si>
  <si>
    <t>0,004113</t>
  </si>
  <si>
    <t>-0,76903</t>
  </si>
  <si>
    <t>0,445725</t>
  </si>
  <si>
    <t>-0,01144</t>
  </si>
  <si>
    <t>0,005111</t>
  </si>
  <si>
    <t>0,504919</t>
  </si>
  <si>
    <t>0,21655</t>
  </si>
  <si>
    <t>2,331653</t>
  </si>
  <si>
    <t>0,069277</t>
  </si>
  <si>
    <t>0,940561</t>
  </si>
  <si>
    <t>Correlation</t>
  </si>
  <si>
    <t xml:space="preserve">Covariance </t>
  </si>
  <si>
    <t>CAPM Regression</t>
  </si>
  <si>
    <t>V - KO</t>
  </si>
  <si>
    <t>Alpha</t>
  </si>
  <si>
    <t>Beta</t>
  </si>
  <si>
    <t>p-value</t>
  </si>
  <si>
    <t>R square</t>
  </si>
  <si>
    <t>F significance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</si>
</sst>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,##0.000"/>
  </numFmts>
  <fonts count="18">
    <font>
      <sz val="10.0"/>
      <color rgb="FF000000"/>
      <name val="Arial"/>
      <scheme val="minor"/>
    </font>
    <font>
      <sz val="9.0"/>
      <color rgb="FF232A31"/>
      <name val="&quot;GT America&quot;"/>
    </font>
    <font>
      <b/>
      <u/>
      <sz val="10.0"/>
      <color rgb="FF0000FF"/>
    </font>
    <font>
      <color theme="1"/>
      <name val="Arial"/>
      <scheme val="minor"/>
    </font>
    <font>
      <b/>
      <u/>
      <sz val="9.0"/>
      <color rgb="FF0000FF"/>
    </font>
    <font>
      <sz val="11.0"/>
      <color rgb="FF232A31"/>
      <name val="&quot;GT America&quot;"/>
    </font>
    <font>
      <b/>
      <sz val="11.0"/>
      <color rgb="FF232A31"/>
      <name val="&quot;GT America&quot;"/>
    </font>
    <font>
      <u/>
      <color rgb="FF0000FF"/>
    </font>
    <font>
      <b/>
      <color theme="1"/>
      <name val="Arial"/>
    </font>
    <font/>
    <font>
      <color theme="1"/>
      <name val="Arial"/>
    </font>
    <font>
      <b/>
      <color rgb="FF000000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sz val="11.0"/>
      <color rgb="FF000000"/>
      <name val="Calibri"/>
    </font>
    <font>
      <i/>
      <sz val="11.0"/>
      <color rgb="FF000000"/>
      <name val="Calibri"/>
    </font>
    <font>
      <b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horizontal="lef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3" xfId="0" applyAlignment="1" applyFont="1" applyNumberFormat="1">
      <alignment horizontal="right" readingOrder="0" shrinkToFit="0" wrapText="0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6" numFmtId="0" xfId="0" applyAlignment="1" applyFont="1">
      <alignment horizontal="center" readingOrder="0" shrinkToFit="0" wrapText="0"/>
    </xf>
    <xf borderId="0" fillId="2" fontId="3" numFmtId="0" xfId="0" applyAlignment="1" applyFill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2" fontId="8" numFmtId="0" xfId="0" applyAlignment="1" applyFont="1">
      <alignment readingOrder="0" shrinkToFit="0" vertical="bottom" wrapText="1"/>
    </xf>
    <xf borderId="0" fillId="2" fontId="8" numFmtId="0" xfId="0" applyAlignment="1" applyFont="1">
      <alignment readingOrder="0" shrinkToFit="0" vertical="bottom" wrapText="1"/>
    </xf>
    <xf borderId="1" fillId="2" fontId="8" numFmtId="0" xfId="0" applyAlignment="1" applyBorder="1" applyFont="1">
      <alignment horizontal="center" readingOrder="0" vertical="bottom"/>
    </xf>
    <xf borderId="2" fillId="0" fontId="9" numFmtId="0" xfId="0" applyBorder="1" applyFont="1"/>
    <xf borderId="3" fillId="0" fontId="9" numFmtId="0" xfId="0" applyBorder="1" applyFont="1"/>
    <xf borderId="1" fillId="2" fontId="3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horizontal="right" readingOrder="0" shrinkToFit="0" wrapText="0"/>
    </xf>
    <xf borderId="0" fillId="0" fontId="3" numFmtId="0" xfId="0" applyFont="1"/>
    <xf borderId="0" fillId="0" fontId="3" numFmtId="165" xfId="0" applyFont="1" applyNumberFormat="1"/>
    <xf borderId="4" fillId="0" fontId="10" numFmtId="4" xfId="0" applyAlignment="1" applyBorder="1" applyFont="1" applyNumberFormat="1">
      <alignment vertical="bottom"/>
    </xf>
    <xf borderId="4" fillId="3" fontId="11" numFmtId="0" xfId="0" applyAlignment="1" applyBorder="1" applyFill="1" applyFont="1">
      <alignment horizontal="center" readingOrder="0" vertical="bottom"/>
    </xf>
    <xf borderId="4" fillId="0" fontId="3" numFmtId="0" xfId="0" applyBorder="1" applyFont="1"/>
    <xf borderId="4" fillId="0" fontId="12" numFmtId="0" xfId="0" applyAlignment="1" applyBorder="1" applyFont="1">
      <alignment horizontal="center" readingOrder="0"/>
    </xf>
    <xf borderId="4" fillId="0" fontId="13" numFmtId="0" xfId="0" applyAlignment="1" applyBorder="1" applyFont="1">
      <alignment horizontal="center" readingOrder="0"/>
    </xf>
    <xf borderId="4" fillId="0" fontId="10" numFmtId="4" xfId="0" applyAlignment="1" applyBorder="1" applyFont="1" applyNumberFormat="1">
      <alignment horizontal="center" vertical="bottom"/>
    </xf>
    <xf borderId="4" fillId="0" fontId="10" numFmtId="10" xfId="0" applyAlignment="1" applyBorder="1" applyFont="1" applyNumberFormat="1">
      <alignment horizontal="center" vertical="bottom"/>
    </xf>
    <xf borderId="4" fillId="0" fontId="10" numFmtId="0" xfId="0" applyAlignment="1" applyBorder="1" applyFont="1">
      <alignment horizontal="center" vertical="bottom"/>
    </xf>
    <xf borderId="1" fillId="0" fontId="10" numFmtId="4" xfId="0" applyAlignment="1" applyBorder="1" applyFont="1" applyNumberFormat="1">
      <alignment vertical="bottom"/>
    </xf>
    <xf borderId="0" fillId="0" fontId="3" numFmtId="10" xfId="0" applyFont="1" applyNumberFormat="1"/>
    <xf borderId="0" fillId="0" fontId="3" numFmtId="0" xfId="0" applyAlignment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49" xfId="0" applyAlignment="1" applyFont="1" applyNumberFormat="1">
      <alignment readingOrder="0" shrinkToFit="0" vertical="bottom" wrapText="0"/>
    </xf>
    <xf borderId="0" fillId="0" fontId="15" numFmtId="49" xfId="0" applyAlignment="1" applyFont="1" applyNumberFormat="1">
      <alignment shrinkToFit="0" vertical="bottom" wrapText="0"/>
    </xf>
    <xf borderId="2" fillId="0" fontId="16" numFmtId="49" xfId="0" applyAlignment="1" applyBorder="1" applyFont="1" applyNumberFormat="1">
      <alignment horizontal="center" readingOrder="0" shrinkToFit="0" vertical="bottom" wrapText="0"/>
    </xf>
    <xf borderId="0" fillId="0" fontId="15" numFmtId="49" xfId="0" applyAlignment="1" applyFont="1" applyNumberFormat="1">
      <alignment horizontal="right" readingOrder="0" shrinkToFit="0" vertical="bottom" wrapText="0"/>
    </xf>
    <xf borderId="5" fillId="0" fontId="15" numFmtId="49" xfId="0" applyAlignment="1" applyBorder="1" applyFont="1" applyNumberFormat="1">
      <alignment readingOrder="0" shrinkToFit="0" vertical="bottom" wrapText="0"/>
    </xf>
    <xf borderId="5" fillId="0" fontId="15" numFmtId="49" xfId="0" applyAlignment="1" applyBorder="1" applyFont="1" applyNumberFormat="1">
      <alignment horizontal="right" readingOrder="0" shrinkToFit="0" vertical="bottom" wrapText="0"/>
    </xf>
    <xf borderId="2" fillId="0" fontId="16" numFmtId="49" xfId="0" applyAlignment="1" applyBorder="1" applyFont="1" applyNumberFormat="1">
      <alignment horizontal="center" shrinkToFit="0" vertical="bottom" wrapText="0"/>
    </xf>
    <xf borderId="5" fillId="0" fontId="15" numFmtId="49" xfId="0" applyAlignment="1" applyBorder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4" fillId="2" fontId="8" numFmtId="0" xfId="0" applyAlignment="1" applyBorder="1" applyFont="1">
      <alignment vertical="bottom"/>
    </xf>
    <xf borderId="4" fillId="2" fontId="17" numFmtId="4" xfId="0" applyAlignment="1" applyBorder="1" applyFont="1" applyNumberFormat="1">
      <alignment horizontal="center" vertical="bottom"/>
    </xf>
    <xf borderId="1" fillId="2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vertical="bottom"/>
    </xf>
    <xf borderId="4" fillId="3" fontId="10" numFmtId="0" xfId="0" applyAlignment="1" applyBorder="1" applyFont="1">
      <alignment horizontal="center" readingOrder="0" vertical="bottom"/>
    </xf>
    <xf borderId="0" fillId="0" fontId="10" numFmtId="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V/history/?frequency=1wk" TargetMode="External"/><Relationship Id="rId2" Type="http://schemas.openxmlformats.org/officeDocument/2006/relationships/hyperlink" Target="https://finance.yahoo.com/quote/KO/history/?frequency=1w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V/" TargetMode="External"/><Relationship Id="rId2" Type="http://schemas.openxmlformats.org/officeDocument/2006/relationships/hyperlink" Target="https://finance.yahoo.com/quote/KO/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V/" TargetMode="External"/><Relationship Id="rId2" Type="http://schemas.openxmlformats.org/officeDocument/2006/relationships/hyperlink" Target="https://finance.yahoo.com/quote/KO/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2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J1" s="4" t="s">
        <v>0</v>
      </c>
      <c r="K1" s="4" t="s">
        <v>1</v>
      </c>
      <c r="L1" s="4" t="s">
        <v>2</v>
      </c>
      <c r="M1" s="4" t="s">
        <v>3</v>
      </c>
      <c r="N1" s="4" t="s">
        <v>4</v>
      </c>
      <c r="O1" s="5" t="s">
        <v>7</v>
      </c>
      <c r="P1" s="4" t="s">
        <v>6</v>
      </c>
    </row>
    <row r="2">
      <c r="A2" s="6">
        <v>46091.0</v>
      </c>
      <c r="B2" s="7">
        <v>315.43</v>
      </c>
      <c r="C2" s="7">
        <v>316.46</v>
      </c>
      <c r="D2" s="7">
        <v>311.47</v>
      </c>
      <c r="E2" s="7">
        <v>316.11</v>
      </c>
      <c r="F2" s="7">
        <v>316.11</v>
      </c>
      <c r="G2" s="8">
        <v>1827488.0</v>
      </c>
      <c r="I2" s="4" t="s">
        <v>8</v>
      </c>
      <c r="J2" s="9">
        <v>46091.0</v>
      </c>
      <c r="K2" s="4">
        <v>77.47</v>
      </c>
      <c r="L2" s="4">
        <v>78.14</v>
      </c>
      <c r="M2" s="4">
        <v>77.1</v>
      </c>
      <c r="N2" s="4">
        <v>78.13</v>
      </c>
      <c r="O2" s="4">
        <v>78.13</v>
      </c>
      <c r="P2" s="10">
        <v>3061527.0</v>
      </c>
    </row>
    <row r="3">
      <c r="A3" s="6">
        <v>46090.0</v>
      </c>
      <c r="B3" s="7">
        <v>313.46</v>
      </c>
      <c r="C3" s="7">
        <v>316.4</v>
      </c>
      <c r="D3" s="7">
        <v>310.15</v>
      </c>
      <c r="E3" s="7">
        <v>315.97</v>
      </c>
      <c r="F3" s="7">
        <v>315.97</v>
      </c>
      <c r="G3" s="8">
        <v>8380700.0</v>
      </c>
      <c r="J3" s="9">
        <v>46090.0</v>
      </c>
      <c r="K3" s="4">
        <v>76.62</v>
      </c>
      <c r="L3" s="4">
        <v>78.07</v>
      </c>
      <c r="M3" s="4">
        <v>76.53</v>
      </c>
      <c r="N3" s="4">
        <v>77.8</v>
      </c>
      <c r="O3" s="4">
        <v>77.8</v>
      </c>
      <c r="P3" s="10">
        <v>1.85498E7</v>
      </c>
    </row>
    <row r="4">
      <c r="A4" s="6">
        <v>46083.0</v>
      </c>
      <c r="B4" s="7">
        <v>315.5</v>
      </c>
      <c r="C4" s="7">
        <v>325.77</v>
      </c>
      <c r="D4" s="7">
        <v>312.3</v>
      </c>
      <c r="E4" s="7">
        <v>317.36</v>
      </c>
      <c r="F4" s="7">
        <v>317.36</v>
      </c>
      <c r="G4" s="8">
        <v>3.2114E7</v>
      </c>
      <c r="J4" s="9">
        <v>46083.0</v>
      </c>
      <c r="K4" s="4">
        <v>81.25</v>
      </c>
      <c r="L4" s="4">
        <v>81.4</v>
      </c>
      <c r="M4" s="4">
        <v>76.35</v>
      </c>
      <c r="N4" s="4">
        <v>77.04</v>
      </c>
      <c r="O4" s="4">
        <v>77.04</v>
      </c>
      <c r="P4" s="10">
        <v>9.838E7</v>
      </c>
    </row>
    <row r="5">
      <c r="A5" s="6">
        <v>46076.0</v>
      </c>
      <c r="B5" s="7">
        <v>319.04</v>
      </c>
      <c r="C5" s="7">
        <v>320.52</v>
      </c>
      <c r="D5" s="7">
        <v>303.08</v>
      </c>
      <c r="E5" s="7">
        <v>320.14</v>
      </c>
      <c r="F5" s="7">
        <v>320.14</v>
      </c>
      <c r="G5" s="8">
        <v>5.09308E7</v>
      </c>
      <c r="J5" s="9">
        <v>46076.0</v>
      </c>
      <c r="K5" s="4">
        <v>79.52</v>
      </c>
      <c r="L5" s="4">
        <v>82.0</v>
      </c>
      <c r="M5" s="4">
        <v>79.5</v>
      </c>
      <c r="N5" s="4">
        <v>81.56</v>
      </c>
      <c r="O5" s="4">
        <v>81.56</v>
      </c>
      <c r="P5" s="10">
        <v>9.30198E7</v>
      </c>
    </row>
    <row r="6">
      <c r="A6" s="6">
        <v>46069.0</v>
      </c>
      <c r="B6" s="7">
        <v>314.41</v>
      </c>
      <c r="C6" s="7">
        <v>322.35</v>
      </c>
      <c r="D6" s="7">
        <v>314.41</v>
      </c>
      <c r="E6" s="7">
        <v>320.95</v>
      </c>
      <c r="F6" s="7">
        <v>320.95</v>
      </c>
      <c r="G6" s="8">
        <v>2.84823E7</v>
      </c>
      <c r="J6" s="9">
        <v>46069.0</v>
      </c>
      <c r="K6" s="4">
        <v>78.99</v>
      </c>
      <c r="L6" s="4">
        <v>79.84</v>
      </c>
      <c r="M6" s="4">
        <v>78.59</v>
      </c>
      <c r="N6" s="4">
        <v>79.84</v>
      </c>
      <c r="O6" s="4">
        <v>79.84</v>
      </c>
      <c r="P6" s="10">
        <v>6.46649E7</v>
      </c>
    </row>
    <row r="7">
      <c r="A7" s="6">
        <v>46063.0</v>
      </c>
      <c r="B7" s="11" t="s">
        <v>9</v>
      </c>
      <c r="J7" s="9">
        <v>46062.0</v>
      </c>
      <c r="K7" s="4">
        <v>78.67</v>
      </c>
      <c r="L7" s="4">
        <v>80.41</v>
      </c>
      <c r="M7" s="4">
        <v>76.01</v>
      </c>
      <c r="N7" s="4">
        <v>78.68</v>
      </c>
      <c r="O7" s="4">
        <v>78.68</v>
      </c>
      <c r="P7" s="10">
        <v>1.176689E8</v>
      </c>
    </row>
    <row r="8">
      <c r="A8" s="6">
        <v>46062.0</v>
      </c>
      <c r="B8" s="7">
        <v>330.76</v>
      </c>
      <c r="C8" s="7">
        <v>332.82</v>
      </c>
      <c r="D8" s="7">
        <v>312.82</v>
      </c>
      <c r="E8" s="7">
        <v>314.08</v>
      </c>
      <c r="F8" s="7">
        <v>313.43</v>
      </c>
      <c r="G8" s="8">
        <v>4.3626E7</v>
      </c>
      <c r="J8" s="9">
        <v>46055.0</v>
      </c>
      <c r="K8" s="4">
        <v>75.01</v>
      </c>
      <c r="L8" s="4">
        <v>79.2</v>
      </c>
      <c r="M8" s="4">
        <v>74.4</v>
      </c>
      <c r="N8" s="4">
        <v>79.03</v>
      </c>
      <c r="O8" s="4">
        <v>79.03</v>
      </c>
      <c r="P8" s="10">
        <v>1.150618E8</v>
      </c>
    </row>
    <row r="9">
      <c r="A9" s="6">
        <v>46055.0</v>
      </c>
      <c r="B9" s="7">
        <v>324.83</v>
      </c>
      <c r="C9" s="7">
        <v>337.59</v>
      </c>
      <c r="D9" s="7">
        <v>324.11</v>
      </c>
      <c r="E9" s="7">
        <v>331.58</v>
      </c>
      <c r="F9" s="7">
        <v>330.9</v>
      </c>
      <c r="G9" s="8">
        <v>4.21937E7</v>
      </c>
      <c r="J9" s="9">
        <v>46048.0</v>
      </c>
      <c r="K9" s="4">
        <v>72.86</v>
      </c>
      <c r="L9" s="4">
        <v>74.9</v>
      </c>
      <c r="M9" s="4">
        <v>72.27</v>
      </c>
      <c r="N9" s="4">
        <v>74.81</v>
      </c>
      <c r="O9" s="4">
        <v>74.81</v>
      </c>
      <c r="P9" s="10">
        <v>8.91729E7</v>
      </c>
    </row>
    <row r="10">
      <c r="A10" s="6">
        <v>46048.0</v>
      </c>
      <c r="B10" s="7">
        <v>328.0</v>
      </c>
      <c r="C10" s="7">
        <v>333.36</v>
      </c>
      <c r="D10" s="7">
        <v>321.6</v>
      </c>
      <c r="E10" s="7">
        <v>321.83</v>
      </c>
      <c r="F10" s="7">
        <v>321.17</v>
      </c>
      <c r="G10" s="8">
        <v>4.34253E7</v>
      </c>
      <c r="J10" s="9">
        <v>46041.0</v>
      </c>
      <c r="K10" s="4">
        <v>70.0</v>
      </c>
      <c r="L10" s="4">
        <v>73.06</v>
      </c>
      <c r="M10" s="4">
        <v>69.79</v>
      </c>
      <c r="N10" s="4">
        <v>72.88</v>
      </c>
      <c r="O10" s="4">
        <v>72.88</v>
      </c>
      <c r="P10" s="10">
        <v>7.60827E7</v>
      </c>
    </row>
    <row r="11">
      <c r="A11" s="6">
        <v>46041.0</v>
      </c>
      <c r="B11" s="7">
        <v>322.23</v>
      </c>
      <c r="C11" s="7">
        <v>328.67</v>
      </c>
      <c r="D11" s="7">
        <v>321.56</v>
      </c>
      <c r="E11" s="7">
        <v>326.18</v>
      </c>
      <c r="F11" s="7">
        <v>325.51</v>
      </c>
      <c r="G11" s="8">
        <v>2.98611E7</v>
      </c>
      <c r="J11" s="9">
        <v>46034.0</v>
      </c>
      <c r="K11" s="4">
        <v>70.9</v>
      </c>
      <c r="L11" s="4">
        <v>71.71</v>
      </c>
      <c r="M11" s="4">
        <v>70.04</v>
      </c>
      <c r="N11" s="4">
        <v>70.44</v>
      </c>
      <c r="O11" s="4">
        <v>70.44</v>
      </c>
      <c r="P11" s="10">
        <v>9.1138E7</v>
      </c>
    </row>
    <row r="12">
      <c r="A12" s="6">
        <v>46034.0</v>
      </c>
      <c r="B12" s="7">
        <v>342.78</v>
      </c>
      <c r="C12" s="7">
        <v>346.51</v>
      </c>
      <c r="D12" s="7">
        <v>323.83</v>
      </c>
      <c r="E12" s="7">
        <v>328.3</v>
      </c>
      <c r="F12" s="7">
        <v>327.62</v>
      </c>
      <c r="G12" s="8">
        <v>5.99825E7</v>
      </c>
      <c r="J12" s="9">
        <v>46027.0</v>
      </c>
      <c r="K12" s="4">
        <v>68.92</v>
      </c>
      <c r="L12" s="4">
        <v>70.66</v>
      </c>
      <c r="M12" s="4">
        <v>67.27</v>
      </c>
      <c r="N12" s="4">
        <v>70.51</v>
      </c>
      <c r="O12" s="4">
        <v>70.51</v>
      </c>
      <c r="P12" s="10">
        <v>1.013055E8</v>
      </c>
    </row>
    <row r="13">
      <c r="A13" s="6">
        <v>46027.0</v>
      </c>
      <c r="B13" s="7">
        <v>344.5</v>
      </c>
      <c r="C13" s="7">
        <v>358.62</v>
      </c>
      <c r="D13" s="7">
        <v>344.05</v>
      </c>
      <c r="E13" s="7">
        <v>349.77</v>
      </c>
      <c r="F13" s="7">
        <v>349.05</v>
      </c>
      <c r="G13" s="8">
        <v>3.1962E7</v>
      </c>
      <c r="J13" s="9">
        <v>46020.0</v>
      </c>
      <c r="K13" s="4">
        <v>70.0</v>
      </c>
      <c r="L13" s="4">
        <v>70.42</v>
      </c>
      <c r="M13" s="4">
        <v>68.98</v>
      </c>
      <c r="N13" s="4">
        <v>69.12</v>
      </c>
      <c r="O13" s="4">
        <v>69.12</v>
      </c>
      <c r="P13" s="10">
        <v>3.85769E7</v>
      </c>
    </row>
    <row r="14">
      <c r="A14" s="6">
        <v>46020.0</v>
      </c>
      <c r="B14" s="7">
        <v>355.49</v>
      </c>
      <c r="C14" s="7">
        <v>356.55</v>
      </c>
      <c r="D14" s="7">
        <v>343.48</v>
      </c>
      <c r="E14" s="7">
        <v>346.48</v>
      </c>
      <c r="F14" s="7">
        <v>345.77</v>
      </c>
      <c r="G14" s="8">
        <v>1.62634E7</v>
      </c>
      <c r="J14" s="9">
        <v>46013.0</v>
      </c>
      <c r="K14" s="4">
        <v>69.93</v>
      </c>
      <c r="L14" s="4">
        <v>70.26</v>
      </c>
      <c r="M14" s="4">
        <v>69.66</v>
      </c>
      <c r="N14" s="4">
        <v>69.87</v>
      </c>
      <c r="O14" s="4">
        <v>69.87</v>
      </c>
      <c r="P14" s="10">
        <v>3.25262E7</v>
      </c>
    </row>
    <row r="15">
      <c r="A15" s="6">
        <v>46013.0</v>
      </c>
      <c r="B15" s="7">
        <v>350.0</v>
      </c>
      <c r="C15" s="7">
        <v>356.73</v>
      </c>
      <c r="D15" s="7">
        <v>349.59</v>
      </c>
      <c r="E15" s="7">
        <v>355.0</v>
      </c>
      <c r="F15" s="7">
        <v>354.27</v>
      </c>
      <c r="G15" s="8">
        <v>1.27873E7</v>
      </c>
      <c r="J15" s="9">
        <v>46006.0</v>
      </c>
      <c r="K15" s="4">
        <v>70.43</v>
      </c>
      <c r="L15" s="4">
        <v>71.32</v>
      </c>
      <c r="M15" s="4">
        <v>70.03</v>
      </c>
      <c r="N15" s="4">
        <v>70.06</v>
      </c>
      <c r="O15" s="4">
        <v>70.06</v>
      </c>
      <c r="P15" s="10">
        <v>1.021387E8</v>
      </c>
    </row>
    <row r="16">
      <c r="A16" s="6">
        <v>46006.0</v>
      </c>
      <c r="B16" s="7">
        <v>347.83</v>
      </c>
      <c r="C16" s="7">
        <v>349.91</v>
      </c>
      <c r="D16" s="7">
        <v>343.68</v>
      </c>
      <c r="E16" s="7">
        <v>349.25</v>
      </c>
      <c r="F16" s="7">
        <v>348.53</v>
      </c>
      <c r="G16" s="8">
        <v>4.69663E7</v>
      </c>
      <c r="J16" s="9">
        <v>45999.0</v>
      </c>
      <c r="K16" s="4">
        <v>69.84</v>
      </c>
      <c r="L16" s="4">
        <v>70.69</v>
      </c>
      <c r="M16" s="4">
        <v>68.79</v>
      </c>
      <c r="N16" s="4">
        <v>70.52</v>
      </c>
      <c r="O16" s="4">
        <v>70.52</v>
      </c>
      <c r="P16" s="10">
        <v>1.021438E8</v>
      </c>
    </row>
    <row r="17">
      <c r="A17" s="6">
        <v>45999.0</v>
      </c>
      <c r="B17" s="7">
        <v>329.88</v>
      </c>
      <c r="C17" s="7">
        <v>349.84</v>
      </c>
      <c r="D17" s="7">
        <v>324.71</v>
      </c>
      <c r="E17" s="7">
        <v>347.83</v>
      </c>
      <c r="F17" s="7">
        <v>347.11</v>
      </c>
      <c r="G17" s="8">
        <v>3.57482E7</v>
      </c>
      <c r="J17" s="9">
        <v>45992.0</v>
      </c>
      <c r="K17" s="4" t="s">
        <v>10</v>
      </c>
    </row>
    <row r="18">
      <c r="A18" s="6">
        <v>45992.0</v>
      </c>
      <c r="B18" s="7">
        <v>332.94</v>
      </c>
      <c r="C18" s="7">
        <v>334.11</v>
      </c>
      <c r="D18" s="7">
        <v>324.28</v>
      </c>
      <c r="E18" s="7">
        <v>331.24</v>
      </c>
      <c r="F18" s="7">
        <v>330.56</v>
      </c>
      <c r="G18" s="8">
        <v>3.3125E7</v>
      </c>
      <c r="J18" s="9">
        <v>45992.0</v>
      </c>
      <c r="K18" s="4">
        <v>72.6</v>
      </c>
      <c r="L18" s="4">
        <v>72.91</v>
      </c>
      <c r="M18" s="4">
        <v>69.87</v>
      </c>
      <c r="N18" s="4">
        <v>70.0</v>
      </c>
      <c r="O18" s="4">
        <v>69.51</v>
      </c>
      <c r="P18" s="10">
        <v>8.29493E7</v>
      </c>
    </row>
    <row r="19">
      <c r="A19" s="6">
        <v>45985.0</v>
      </c>
      <c r="B19" s="7">
        <v>329.24</v>
      </c>
      <c r="C19" s="7">
        <v>336.06</v>
      </c>
      <c r="D19" s="7">
        <v>326.0</v>
      </c>
      <c r="E19" s="7">
        <v>334.44</v>
      </c>
      <c r="F19" s="7">
        <v>333.75</v>
      </c>
      <c r="G19" s="8">
        <v>2.40875E7</v>
      </c>
      <c r="J19" s="9">
        <v>45985.0</v>
      </c>
      <c r="K19" s="4">
        <v>73.16</v>
      </c>
      <c r="L19" s="4">
        <v>73.23</v>
      </c>
      <c r="M19" s="4">
        <v>71.57</v>
      </c>
      <c r="N19" s="4">
        <v>73.12</v>
      </c>
      <c r="O19" s="4">
        <v>72.61</v>
      </c>
      <c r="P19" s="10">
        <v>7.64879E7</v>
      </c>
    </row>
    <row r="20">
      <c r="A20" s="6">
        <v>45978.0</v>
      </c>
      <c r="B20" s="7">
        <v>331.16</v>
      </c>
      <c r="C20" s="7">
        <v>333.36</v>
      </c>
      <c r="D20" s="7">
        <v>318.0</v>
      </c>
      <c r="E20" s="7">
        <v>327.98</v>
      </c>
      <c r="F20" s="7">
        <v>327.31</v>
      </c>
      <c r="G20" s="8">
        <v>3.81722E7</v>
      </c>
      <c r="J20" s="9">
        <v>45978.0</v>
      </c>
      <c r="K20" s="4">
        <v>71.2</v>
      </c>
      <c r="L20" s="4">
        <v>73.19</v>
      </c>
      <c r="M20" s="4">
        <v>70.57</v>
      </c>
      <c r="N20" s="4">
        <v>72.95</v>
      </c>
      <c r="O20" s="4">
        <v>72.44</v>
      </c>
      <c r="P20" s="10">
        <v>8.19017E7</v>
      </c>
    </row>
    <row r="21">
      <c r="A21" s="6">
        <v>45973.0</v>
      </c>
      <c r="B21" s="11" t="s">
        <v>9</v>
      </c>
      <c r="J21" s="9">
        <v>45971.0</v>
      </c>
      <c r="K21" s="4">
        <v>70.01</v>
      </c>
      <c r="L21" s="4">
        <v>71.89</v>
      </c>
      <c r="M21" s="4">
        <v>69.44</v>
      </c>
      <c r="N21" s="4">
        <v>71.16</v>
      </c>
      <c r="O21" s="4">
        <v>70.66</v>
      </c>
      <c r="P21" s="10">
        <v>7.22656E7</v>
      </c>
    </row>
    <row r="22">
      <c r="A22" s="6">
        <v>45971.0</v>
      </c>
      <c r="B22" s="7">
        <v>336.65</v>
      </c>
      <c r="C22" s="7">
        <v>344.26</v>
      </c>
      <c r="D22" s="7">
        <v>329.03</v>
      </c>
      <c r="E22" s="7">
        <v>330.02</v>
      </c>
      <c r="F22" s="7">
        <v>328.69</v>
      </c>
      <c r="G22" s="8">
        <v>2.75227E7</v>
      </c>
      <c r="J22" s="9">
        <v>45964.0</v>
      </c>
      <c r="K22" s="4">
        <v>68.8</v>
      </c>
      <c r="L22" s="4">
        <v>70.87</v>
      </c>
      <c r="M22" s="4">
        <v>67.66</v>
      </c>
      <c r="N22" s="4">
        <v>70.55</v>
      </c>
      <c r="O22" s="4">
        <v>70.06</v>
      </c>
      <c r="P22" s="10">
        <v>8.22693E7</v>
      </c>
    </row>
    <row r="23">
      <c r="A23" s="6">
        <v>45964.0</v>
      </c>
      <c r="B23" s="7">
        <v>341.0</v>
      </c>
      <c r="C23" s="7">
        <v>342.11</v>
      </c>
      <c r="D23" s="7">
        <v>333.71</v>
      </c>
      <c r="E23" s="7">
        <v>336.02</v>
      </c>
      <c r="F23" s="7">
        <v>334.67</v>
      </c>
      <c r="G23" s="8">
        <v>3.02691E7</v>
      </c>
      <c r="J23" s="9">
        <v>45957.0</v>
      </c>
      <c r="K23" s="4">
        <v>69.78</v>
      </c>
      <c r="L23" s="4">
        <v>70.9</v>
      </c>
      <c r="M23" s="4">
        <v>67.9</v>
      </c>
      <c r="N23" s="4">
        <v>68.9</v>
      </c>
      <c r="O23" s="4">
        <v>68.42</v>
      </c>
      <c r="P23" s="10">
        <v>7.78145E7</v>
      </c>
    </row>
    <row r="24">
      <c r="A24" s="6">
        <v>45957.0</v>
      </c>
      <c r="B24" s="7">
        <v>349.0</v>
      </c>
      <c r="C24" s="7">
        <v>350.98</v>
      </c>
      <c r="D24" s="7">
        <v>338.17</v>
      </c>
      <c r="E24" s="7">
        <v>340.74</v>
      </c>
      <c r="F24" s="7">
        <v>339.37</v>
      </c>
      <c r="G24" s="8">
        <v>3.49208E7</v>
      </c>
      <c r="J24" s="9">
        <v>45950.0</v>
      </c>
      <c r="K24" s="4">
        <v>68.43</v>
      </c>
      <c r="L24" s="4">
        <v>71.62</v>
      </c>
      <c r="M24" s="4">
        <v>67.92</v>
      </c>
      <c r="N24" s="4">
        <v>69.71</v>
      </c>
      <c r="O24" s="4">
        <v>69.22</v>
      </c>
      <c r="P24" s="10">
        <v>9.94087E7</v>
      </c>
    </row>
    <row r="25">
      <c r="A25" s="6">
        <v>45950.0</v>
      </c>
      <c r="B25" s="7">
        <v>341.9</v>
      </c>
      <c r="C25" s="7">
        <v>349.65</v>
      </c>
      <c r="D25" s="7">
        <v>338.94</v>
      </c>
      <c r="E25" s="7">
        <v>347.38</v>
      </c>
      <c r="F25" s="7">
        <v>345.98</v>
      </c>
      <c r="G25" s="8">
        <v>2.46551E7</v>
      </c>
      <c r="J25" s="9">
        <v>45943.0</v>
      </c>
      <c r="K25" s="4">
        <v>66.23</v>
      </c>
      <c r="L25" s="4">
        <v>68.5</v>
      </c>
      <c r="M25" s="4">
        <v>66.0</v>
      </c>
      <c r="N25" s="4">
        <v>68.44</v>
      </c>
      <c r="O25" s="4">
        <v>67.96</v>
      </c>
      <c r="P25" s="10">
        <v>7.03783E7</v>
      </c>
    </row>
    <row r="26">
      <c r="A26" s="6">
        <v>45943.0</v>
      </c>
      <c r="B26" s="7">
        <v>343.72</v>
      </c>
      <c r="C26" s="7">
        <v>350.08</v>
      </c>
      <c r="D26" s="7">
        <v>334.17</v>
      </c>
      <c r="E26" s="7">
        <v>341.89</v>
      </c>
      <c r="F26" s="7">
        <v>340.51</v>
      </c>
      <c r="G26" s="8">
        <v>2.60485E7</v>
      </c>
      <c r="J26" s="9">
        <v>45936.0</v>
      </c>
      <c r="K26" s="4">
        <v>66.49</v>
      </c>
      <c r="L26" s="4">
        <v>67.4</v>
      </c>
      <c r="M26" s="4">
        <v>65.84</v>
      </c>
      <c r="N26" s="4">
        <v>67.04</v>
      </c>
      <c r="O26" s="4">
        <v>66.57</v>
      </c>
      <c r="P26" s="10">
        <v>7.09652E7</v>
      </c>
    </row>
    <row r="27">
      <c r="A27" s="6">
        <v>45936.0</v>
      </c>
      <c r="B27" s="7">
        <v>350.01</v>
      </c>
      <c r="C27" s="7">
        <v>355.0</v>
      </c>
      <c r="D27" s="7">
        <v>343.25</v>
      </c>
      <c r="E27" s="7">
        <v>343.65</v>
      </c>
      <c r="F27" s="7">
        <v>342.26</v>
      </c>
      <c r="G27" s="8">
        <v>2.44387E7</v>
      </c>
      <c r="J27" s="9">
        <v>45929.0</v>
      </c>
      <c r="K27" s="4">
        <v>65.67</v>
      </c>
      <c r="L27" s="4">
        <v>66.99</v>
      </c>
      <c r="M27" s="4">
        <v>65.35</v>
      </c>
      <c r="N27" s="4">
        <v>66.65</v>
      </c>
      <c r="O27" s="4">
        <v>66.19</v>
      </c>
      <c r="P27" s="10">
        <v>7.01109E7</v>
      </c>
    </row>
    <row r="28">
      <c r="A28" s="6">
        <v>45929.0</v>
      </c>
      <c r="B28" s="7">
        <v>337.38</v>
      </c>
      <c r="C28" s="7">
        <v>353.16</v>
      </c>
      <c r="D28" s="7">
        <v>335.55</v>
      </c>
      <c r="E28" s="7">
        <v>349.84</v>
      </c>
      <c r="F28" s="7">
        <v>348.43</v>
      </c>
      <c r="G28" s="8">
        <v>3.41609E7</v>
      </c>
      <c r="J28" s="9">
        <v>45922.0</v>
      </c>
      <c r="K28" s="4">
        <v>66.16</v>
      </c>
      <c r="L28" s="4">
        <v>66.92</v>
      </c>
      <c r="M28" s="4">
        <v>65.5</v>
      </c>
      <c r="N28" s="4">
        <v>65.67</v>
      </c>
      <c r="O28" s="4">
        <v>65.21</v>
      </c>
      <c r="P28" s="10">
        <v>7.53474E7</v>
      </c>
    </row>
    <row r="29">
      <c r="A29" s="6">
        <v>45922.0</v>
      </c>
      <c r="B29" s="7">
        <v>339.01</v>
      </c>
      <c r="C29" s="7">
        <v>345.26</v>
      </c>
      <c r="D29" s="7">
        <v>334.51</v>
      </c>
      <c r="E29" s="7">
        <v>337.37</v>
      </c>
      <c r="F29" s="7">
        <v>336.01</v>
      </c>
      <c r="G29" s="8">
        <v>3.59898E7</v>
      </c>
      <c r="J29" s="9">
        <v>45915.0</v>
      </c>
      <c r="K29" s="4" t="s">
        <v>10</v>
      </c>
    </row>
    <row r="30">
      <c r="A30" s="6">
        <v>45915.0</v>
      </c>
      <c r="B30" s="7">
        <v>340.61</v>
      </c>
      <c r="C30" s="7">
        <v>346.2</v>
      </c>
      <c r="D30" s="7">
        <v>333.47</v>
      </c>
      <c r="E30" s="7">
        <v>341.61</v>
      </c>
      <c r="F30" s="7">
        <v>340.23</v>
      </c>
      <c r="G30" s="8">
        <v>3.68596E7</v>
      </c>
      <c r="J30" s="9">
        <v>45915.0</v>
      </c>
      <c r="K30" s="4">
        <v>66.68</v>
      </c>
      <c r="L30" s="4">
        <v>67.13</v>
      </c>
      <c r="M30" s="4">
        <v>66.05</v>
      </c>
      <c r="N30" s="4">
        <v>66.43</v>
      </c>
      <c r="O30" s="4">
        <v>65.46</v>
      </c>
      <c r="P30" s="10">
        <v>1.008301E8</v>
      </c>
    </row>
    <row r="31">
      <c r="A31" s="6">
        <v>45908.0</v>
      </c>
      <c r="B31" s="7">
        <v>342.34</v>
      </c>
      <c r="C31" s="7">
        <v>346.32</v>
      </c>
      <c r="D31" s="7">
        <v>336.44</v>
      </c>
      <c r="E31" s="7">
        <v>339.43</v>
      </c>
      <c r="F31" s="7">
        <v>338.06</v>
      </c>
      <c r="G31" s="8">
        <v>2.45916E7</v>
      </c>
      <c r="J31" s="9">
        <v>45908.0</v>
      </c>
      <c r="K31" s="4">
        <v>67.86</v>
      </c>
      <c r="L31" s="4">
        <v>68.17</v>
      </c>
      <c r="M31" s="4">
        <v>66.94</v>
      </c>
      <c r="N31" s="4">
        <v>67.01</v>
      </c>
      <c r="O31" s="4">
        <v>66.04</v>
      </c>
      <c r="P31" s="10">
        <v>8.56753E7</v>
      </c>
    </row>
    <row r="32">
      <c r="A32" s="6">
        <v>45901.0</v>
      </c>
      <c r="B32" s="7">
        <v>349.31</v>
      </c>
      <c r="C32" s="7">
        <v>352.63</v>
      </c>
      <c r="D32" s="7">
        <v>340.2</v>
      </c>
      <c r="E32" s="7">
        <v>343.22</v>
      </c>
      <c r="F32" s="7">
        <v>341.84</v>
      </c>
      <c r="G32" s="8">
        <v>1.8889E7</v>
      </c>
      <c r="J32" s="9">
        <v>45901.0</v>
      </c>
      <c r="K32" s="4">
        <v>68.96</v>
      </c>
      <c r="L32" s="4">
        <v>69.46</v>
      </c>
      <c r="M32" s="4">
        <v>67.37</v>
      </c>
      <c r="N32" s="4">
        <v>67.96</v>
      </c>
      <c r="O32" s="4">
        <v>66.97</v>
      </c>
      <c r="P32" s="10">
        <v>9.90656E7</v>
      </c>
    </row>
    <row r="33">
      <c r="A33" s="6">
        <v>45894.0</v>
      </c>
      <c r="B33" s="7">
        <v>349.61</v>
      </c>
      <c r="C33" s="7">
        <v>353.43</v>
      </c>
      <c r="D33" s="7">
        <v>347.45</v>
      </c>
      <c r="E33" s="7">
        <v>351.78</v>
      </c>
      <c r="F33" s="7">
        <v>350.36</v>
      </c>
      <c r="G33" s="8">
        <v>2.80861E7</v>
      </c>
      <c r="J33" s="9">
        <v>45894.0</v>
      </c>
      <c r="K33" s="4">
        <v>70.11</v>
      </c>
      <c r="L33" s="4">
        <v>70.23</v>
      </c>
      <c r="M33" s="4">
        <v>68.28</v>
      </c>
      <c r="N33" s="4">
        <v>68.99</v>
      </c>
      <c r="O33" s="4">
        <v>67.99</v>
      </c>
      <c r="P33" s="10">
        <v>7.39725E7</v>
      </c>
    </row>
    <row r="34">
      <c r="A34" s="6">
        <v>45887.0</v>
      </c>
      <c r="B34" s="7">
        <v>343.84</v>
      </c>
      <c r="C34" s="7">
        <v>351.2</v>
      </c>
      <c r="D34" s="7">
        <v>339.72</v>
      </c>
      <c r="E34" s="7">
        <v>350.04</v>
      </c>
      <c r="F34" s="7">
        <v>348.63</v>
      </c>
      <c r="G34" s="8">
        <v>2.5338E7</v>
      </c>
      <c r="J34" s="9">
        <v>45887.0</v>
      </c>
      <c r="K34" s="4">
        <v>69.98</v>
      </c>
      <c r="L34" s="4">
        <v>71.71</v>
      </c>
      <c r="M34" s="4">
        <v>69.05</v>
      </c>
      <c r="N34" s="4">
        <v>70.13</v>
      </c>
      <c r="O34" s="4">
        <v>69.11</v>
      </c>
      <c r="P34" s="10">
        <v>6.73279E7</v>
      </c>
    </row>
    <row r="35">
      <c r="A35" s="6">
        <v>45881.0</v>
      </c>
      <c r="B35" s="11" t="s">
        <v>11</v>
      </c>
      <c r="J35" s="9">
        <v>45880.0</v>
      </c>
      <c r="K35" s="4">
        <v>70.3</v>
      </c>
      <c r="L35" s="4">
        <v>71.06</v>
      </c>
      <c r="M35" s="4">
        <v>69.39</v>
      </c>
      <c r="N35" s="4">
        <v>69.92</v>
      </c>
      <c r="O35" s="4">
        <v>68.9</v>
      </c>
      <c r="P35" s="10">
        <v>5.54305E7</v>
      </c>
    </row>
    <row r="36">
      <c r="A36" s="6">
        <v>45880.0</v>
      </c>
      <c r="B36" s="7">
        <v>336.73</v>
      </c>
      <c r="C36" s="7">
        <v>348.36</v>
      </c>
      <c r="D36" s="7">
        <v>334.51</v>
      </c>
      <c r="E36" s="7">
        <v>344.47</v>
      </c>
      <c r="F36" s="7">
        <v>342.48</v>
      </c>
      <c r="G36" s="8">
        <v>2.82626E7</v>
      </c>
      <c r="J36" s="9">
        <v>45873.0</v>
      </c>
      <c r="K36" s="4">
        <v>68.72</v>
      </c>
      <c r="L36" s="4">
        <v>70.87</v>
      </c>
      <c r="M36" s="4">
        <v>68.31</v>
      </c>
      <c r="N36" s="4">
        <v>70.34</v>
      </c>
      <c r="O36" s="4">
        <v>69.32</v>
      </c>
      <c r="P36" s="10">
        <v>5.85014E7</v>
      </c>
    </row>
    <row r="37">
      <c r="A37" s="6">
        <v>45873.0</v>
      </c>
      <c r="B37" s="7">
        <v>341.7</v>
      </c>
      <c r="C37" s="7">
        <v>344.38</v>
      </c>
      <c r="D37" s="7">
        <v>328.7</v>
      </c>
      <c r="E37" s="7">
        <v>336.78</v>
      </c>
      <c r="F37" s="7">
        <v>334.83</v>
      </c>
      <c r="G37" s="8">
        <v>3.5446E7</v>
      </c>
      <c r="J37" s="9">
        <v>45866.0</v>
      </c>
      <c r="K37" s="4">
        <v>68.74</v>
      </c>
      <c r="L37" s="4">
        <v>69.42</v>
      </c>
      <c r="M37" s="4">
        <v>67.74</v>
      </c>
      <c r="N37" s="4">
        <v>68.86</v>
      </c>
      <c r="O37" s="4">
        <v>67.86</v>
      </c>
      <c r="P37" s="10">
        <v>7.36413E7</v>
      </c>
    </row>
    <row r="38">
      <c r="A38" s="6">
        <v>45866.0</v>
      </c>
      <c r="B38" s="7">
        <v>356.38</v>
      </c>
      <c r="C38" s="7">
        <v>358.32</v>
      </c>
      <c r="D38" s="7">
        <v>338.1</v>
      </c>
      <c r="E38" s="7">
        <v>339.35</v>
      </c>
      <c r="F38" s="7">
        <v>337.39</v>
      </c>
      <c r="G38" s="8">
        <v>4.07534E7</v>
      </c>
      <c r="J38" s="9">
        <v>45859.0</v>
      </c>
      <c r="K38" s="4">
        <v>70.19</v>
      </c>
      <c r="L38" s="4">
        <v>70.62</v>
      </c>
      <c r="M38" s="4">
        <v>68.6</v>
      </c>
      <c r="N38" s="4">
        <v>69.17</v>
      </c>
      <c r="O38" s="4">
        <v>68.16</v>
      </c>
      <c r="P38" s="10">
        <v>8.62678E7</v>
      </c>
    </row>
    <row r="39">
      <c r="A39" s="6">
        <v>45859.0</v>
      </c>
      <c r="B39" s="7">
        <v>349.06</v>
      </c>
      <c r="C39" s="7">
        <v>357.65</v>
      </c>
      <c r="D39" s="7">
        <v>348.4</v>
      </c>
      <c r="E39" s="7">
        <v>357.04</v>
      </c>
      <c r="F39" s="7">
        <v>354.98</v>
      </c>
      <c r="G39" s="8">
        <v>2.40187E7</v>
      </c>
      <c r="J39" s="9">
        <v>45852.0</v>
      </c>
      <c r="K39" s="4">
        <v>69.8</v>
      </c>
      <c r="L39" s="4">
        <v>70.7</v>
      </c>
      <c r="M39" s="4">
        <v>68.79</v>
      </c>
      <c r="N39" s="4">
        <v>69.85</v>
      </c>
      <c r="O39" s="4">
        <v>68.83</v>
      </c>
      <c r="P39" s="10">
        <v>7.5194E7</v>
      </c>
    </row>
    <row r="40">
      <c r="A40" s="6">
        <v>45852.0</v>
      </c>
      <c r="B40" s="7">
        <v>347.39</v>
      </c>
      <c r="C40" s="7">
        <v>351.97</v>
      </c>
      <c r="D40" s="7">
        <v>345.01</v>
      </c>
      <c r="E40" s="7">
        <v>349.05</v>
      </c>
      <c r="F40" s="7">
        <v>347.03</v>
      </c>
      <c r="G40" s="8">
        <v>2.57095E7</v>
      </c>
      <c r="J40" s="9">
        <v>45845.0</v>
      </c>
      <c r="K40" s="4">
        <v>71.37</v>
      </c>
      <c r="L40" s="4">
        <v>71.37</v>
      </c>
      <c r="M40" s="4">
        <v>68.97</v>
      </c>
      <c r="N40" s="4">
        <v>69.87</v>
      </c>
      <c r="O40" s="4">
        <v>68.85</v>
      </c>
      <c r="P40" s="10">
        <v>9.53294E7</v>
      </c>
    </row>
    <row r="41">
      <c r="A41" s="6">
        <v>45845.0</v>
      </c>
      <c r="B41" s="7">
        <v>358.92</v>
      </c>
      <c r="C41" s="7">
        <v>359.66</v>
      </c>
      <c r="D41" s="7">
        <v>344.39</v>
      </c>
      <c r="E41" s="7">
        <v>347.93</v>
      </c>
      <c r="F41" s="7">
        <v>345.92</v>
      </c>
      <c r="G41" s="8">
        <v>3.31034E7</v>
      </c>
      <c r="J41" s="9">
        <v>45838.0</v>
      </c>
      <c r="K41" s="4">
        <v>70.13</v>
      </c>
      <c r="L41" s="4">
        <v>72.45</v>
      </c>
      <c r="M41" s="4">
        <v>70.09</v>
      </c>
      <c r="N41" s="4">
        <v>71.35</v>
      </c>
      <c r="O41" s="4">
        <v>70.31</v>
      </c>
      <c r="P41" s="10">
        <v>5.9649E7</v>
      </c>
    </row>
    <row r="42">
      <c r="A42" s="6">
        <v>45838.0</v>
      </c>
      <c r="B42" s="7">
        <v>349.35</v>
      </c>
      <c r="C42" s="7">
        <v>359.0</v>
      </c>
      <c r="D42" s="7">
        <v>349.06</v>
      </c>
      <c r="E42" s="7">
        <v>358.86</v>
      </c>
      <c r="F42" s="7">
        <v>356.79</v>
      </c>
      <c r="G42" s="8">
        <v>2.25677E7</v>
      </c>
      <c r="J42" s="9">
        <v>45831.0</v>
      </c>
      <c r="K42" s="4">
        <v>69.14</v>
      </c>
      <c r="L42" s="4">
        <v>70.56</v>
      </c>
      <c r="M42" s="4">
        <v>68.97</v>
      </c>
      <c r="N42" s="4">
        <v>70.33</v>
      </c>
      <c r="O42" s="4">
        <v>69.31</v>
      </c>
      <c r="P42" s="10">
        <v>8.75041E7</v>
      </c>
    </row>
    <row r="43">
      <c r="A43" s="6">
        <v>45831.0</v>
      </c>
      <c r="B43" s="7">
        <v>337.5</v>
      </c>
      <c r="C43" s="7">
        <v>354.56</v>
      </c>
      <c r="D43" s="7">
        <v>335.63</v>
      </c>
      <c r="E43" s="7">
        <v>348.61</v>
      </c>
      <c r="F43" s="7">
        <v>346.6</v>
      </c>
      <c r="G43" s="8">
        <v>3.9993E7</v>
      </c>
      <c r="J43" s="9">
        <v>45824.0</v>
      </c>
      <c r="K43" s="4">
        <v>71.2</v>
      </c>
      <c r="L43" s="4">
        <v>71.62</v>
      </c>
      <c r="M43" s="4">
        <v>68.78</v>
      </c>
      <c r="N43" s="4">
        <v>68.84</v>
      </c>
      <c r="O43" s="4">
        <v>67.84</v>
      </c>
      <c r="P43" s="10">
        <v>8.75699E7</v>
      </c>
    </row>
    <row r="44">
      <c r="A44" s="6">
        <v>45824.0</v>
      </c>
      <c r="B44" s="7">
        <v>356.49</v>
      </c>
      <c r="C44" s="7">
        <v>360.22</v>
      </c>
      <c r="D44" s="7">
        <v>334.92</v>
      </c>
      <c r="E44" s="7">
        <v>338.57</v>
      </c>
      <c r="F44" s="7">
        <v>336.61</v>
      </c>
      <c r="G44" s="8">
        <v>4.7135E7</v>
      </c>
      <c r="J44" s="9">
        <v>45821.0</v>
      </c>
      <c r="K44" s="4" t="s">
        <v>10</v>
      </c>
    </row>
    <row r="45">
      <c r="A45" s="6">
        <v>45817.0</v>
      </c>
      <c r="B45" s="7">
        <v>369.79</v>
      </c>
      <c r="C45" s="7">
        <v>375.51</v>
      </c>
      <c r="D45" s="7">
        <v>345.0</v>
      </c>
      <c r="E45" s="7">
        <v>352.85</v>
      </c>
      <c r="F45" s="7">
        <v>350.81</v>
      </c>
      <c r="G45" s="8">
        <v>3.37276E7</v>
      </c>
      <c r="J45" s="9">
        <v>45817.0</v>
      </c>
      <c r="K45" s="4">
        <v>71.35</v>
      </c>
      <c r="L45" s="4">
        <v>72.69</v>
      </c>
      <c r="M45" s="4">
        <v>70.73</v>
      </c>
      <c r="N45" s="4">
        <v>71.02</v>
      </c>
      <c r="O45" s="4">
        <v>69.49</v>
      </c>
      <c r="P45" s="10">
        <v>6.75389E7</v>
      </c>
    </row>
    <row r="46">
      <c r="A46" s="6">
        <v>45810.0</v>
      </c>
      <c r="B46" s="7">
        <v>362.77</v>
      </c>
      <c r="C46" s="7">
        <v>371.0</v>
      </c>
      <c r="D46" s="7">
        <v>359.96</v>
      </c>
      <c r="E46" s="7">
        <v>370.22</v>
      </c>
      <c r="F46" s="7">
        <v>368.08</v>
      </c>
      <c r="G46" s="8">
        <v>2.51597E7</v>
      </c>
      <c r="J46" s="9">
        <v>45810.0</v>
      </c>
      <c r="K46" s="4">
        <v>72.03</v>
      </c>
      <c r="L46" s="4">
        <v>72.04</v>
      </c>
      <c r="M46" s="4">
        <v>70.47</v>
      </c>
      <c r="N46" s="4">
        <v>71.35</v>
      </c>
      <c r="O46" s="4">
        <v>69.82</v>
      </c>
      <c r="P46" s="10">
        <v>6.69638E7</v>
      </c>
    </row>
    <row r="47">
      <c r="A47" s="6">
        <v>45803.0</v>
      </c>
      <c r="B47" s="7">
        <v>355.41</v>
      </c>
      <c r="C47" s="7">
        <v>367.04</v>
      </c>
      <c r="D47" s="7">
        <v>354.48</v>
      </c>
      <c r="E47" s="7">
        <v>365.19</v>
      </c>
      <c r="F47" s="7">
        <v>363.08</v>
      </c>
      <c r="G47" s="8">
        <v>2.29323E7</v>
      </c>
      <c r="J47" s="9">
        <v>45803.0</v>
      </c>
      <c r="K47" s="4">
        <v>71.74</v>
      </c>
      <c r="L47" s="4">
        <v>72.47</v>
      </c>
      <c r="M47" s="4">
        <v>70.46</v>
      </c>
      <c r="N47" s="4">
        <v>72.1</v>
      </c>
      <c r="O47" s="4">
        <v>70.55</v>
      </c>
      <c r="P47" s="10">
        <v>5.76876E7</v>
      </c>
    </row>
    <row r="48">
      <c r="A48" s="6">
        <v>45796.0</v>
      </c>
      <c r="B48" s="7">
        <v>363.02</v>
      </c>
      <c r="C48" s="7">
        <v>369.15</v>
      </c>
      <c r="D48" s="7">
        <v>352.22</v>
      </c>
      <c r="E48" s="7">
        <v>353.54</v>
      </c>
      <c r="F48" s="7">
        <v>351.5</v>
      </c>
      <c r="G48" s="8">
        <v>2.67709E7</v>
      </c>
      <c r="J48" s="9">
        <v>45796.0</v>
      </c>
      <c r="K48" s="4">
        <v>72.03</v>
      </c>
      <c r="L48" s="4">
        <v>72.17</v>
      </c>
      <c r="M48" s="4">
        <v>70.69</v>
      </c>
      <c r="N48" s="4">
        <v>71.77</v>
      </c>
      <c r="O48" s="4">
        <v>70.23</v>
      </c>
      <c r="P48" s="10">
        <v>6.14389E7</v>
      </c>
    </row>
    <row r="49">
      <c r="A49" s="6">
        <v>45790.0</v>
      </c>
      <c r="B49" s="11" t="s">
        <v>11</v>
      </c>
      <c r="J49" s="9">
        <v>45789.0</v>
      </c>
      <c r="K49" s="4">
        <v>70.15</v>
      </c>
      <c r="L49" s="4">
        <v>72.26</v>
      </c>
      <c r="M49" s="4">
        <v>68.58</v>
      </c>
      <c r="N49" s="4">
        <v>72.0</v>
      </c>
      <c r="O49" s="4">
        <v>70.45</v>
      </c>
      <c r="P49" s="10">
        <v>9.04732E7</v>
      </c>
    </row>
    <row r="50">
      <c r="A50" s="6">
        <v>45789.0</v>
      </c>
      <c r="B50" s="7">
        <v>359.14</v>
      </c>
      <c r="C50" s="7">
        <v>366.19</v>
      </c>
      <c r="D50" s="7">
        <v>351.13</v>
      </c>
      <c r="E50" s="7">
        <v>365.12</v>
      </c>
      <c r="F50" s="7">
        <v>362.41</v>
      </c>
      <c r="G50" s="8">
        <v>3.12634E7</v>
      </c>
      <c r="J50" s="9">
        <v>45782.0</v>
      </c>
      <c r="K50" s="4">
        <v>71.67</v>
      </c>
      <c r="L50" s="4">
        <v>72.69</v>
      </c>
      <c r="M50" s="4">
        <v>70.46</v>
      </c>
      <c r="N50" s="4">
        <v>70.52</v>
      </c>
      <c r="O50" s="4">
        <v>69.0</v>
      </c>
      <c r="P50" s="10">
        <v>6.52564E7</v>
      </c>
    </row>
    <row r="51">
      <c r="A51" s="6">
        <v>45782.0</v>
      </c>
      <c r="B51" s="7">
        <v>347.0</v>
      </c>
      <c r="C51" s="7">
        <v>355.33</v>
      </c>
      <c r="D51" s="7">
        <v>345.76</v>
      </c>
      <c r="E51" s="7">
        <v>352.54</v>
      </c>
      <c r="F51" s="7">
        <v>349.92</v>
      </c>
      <c r="G51" s="8">
        <v>2.00008E7</v>
      </c>
      <c r="J51" s="9">
        <v>45775.0</v>
      </c>
      <c r="K51" s="4">
        <v>72.08</v>
      </c>
      <c r="L51" s="4">
        <v>73.48</v>
      </c>
      <c r="M51" s="4">
        <v>70.28</v>
      </c>
      <c r="N51" s="4">
        <v>71.65</v>
      </c>
      <c r="O51" s="4">
        <v>70.11</v>
      </c>
      <c r="P51" s="10">
        <v>8.39801E7</v>
      </c>
    </row>
    <row r="52">
      <c r="A52" s="6">
        <v>45775.0</v>
      </c>
      <c r="B52" s="7">
        <v>336.78</v>
      </c>
      <c r="C52" s="7">
        <v>350.09</v>
      </c>
      <c r="D52" s="7">
        <v>333.24</v>
      </c>
      <c r="E52" s="7">
        <v>347.6</v>
      </c>
      <c r="F52" s="7">
        <v>345.02</v>
      </c>
      <c r="G52" s="8">
        <v>3.24327E7</v>
      </c>
      <c r="J52" s="9">
        <v>45768.0</v>
      </c>
      <c r="K52" s="4">
        <v>73.38</v>
      </c>
      <c r="L52" s="4">
        <v>74.38</v>
      </c>
      <c r="M52" s="4">
        <v>71.13</v>
      </c>
      <c r="N52" s="4">
        <v>71.91</v>
      </c>
      <c r="O52" s="4">
        <v>70.36</v>
      </c>
      <c r="P52" s="10">
        <v>8.12145E7</v>
      </c>
    </row>
    <row r="53">
      <c r="A53" s="6">
        <v>45768.0</v>
      </c>
      <c r="B53" s="7">
        <v>329.0</v>
      </c>
      <c r="C53" s="7">
        <v>341.25</v>
      </c>
      <c r="D53" s="7">
        <v>316.65</v>
      </c>
      <c r="E53" s="7">
        <v>335.17</v>
      </c>
      <c r="F53" s="7">
        <v>332.68</v>
      </c>
      <c r="G53" s="8">
        <v>3.32118E7</v>
      </c>
      <c r="J53" s="9">
        <v>45761.0</v>
      </c>
      <c r="K53" s="4">
        <v>71.3</v>
      </c>
      <c r="L53" s="4">
        <v>73.43</v>
      </c>
      <c r="M53" s="4">
        <v>70.93</v>
      </c>
      <c r="N53" s="4">
        <v>73.0</v>
      </c>
      <c r="O53" s="4">
        <v>71.43</v>
      </c>
      <c r="P53" s="10">
        <v>6.49264E7</v>
      </c>
    </row>
    <row r="54">
      <c r="A54" s="6">
        <v>45761.0</v>
      </c>
      <c r="B54" s="7">
        <v>336.41</v>
      </c>
      <c r="C54" s="7">
        <v>339.61</v>
      </c>
      <c r="D54" s="7">
        <v>328.44</v>
      </c>
      <c r="E54" s="7">
        <v>329.61</v>
      </c>
      <c r="F54" s="7">
        <v>327.16</v>
      </c>
      <c r="G54" s="8">
        <v>2.09045E7</v>
      </c>
      <c r="J54" s="9">
        <v>45754.0</v>
      </c>
      <c r="K54" s="4">
        <v>66.23</v>
      </c>
      <c r="L54" s="4">
        <v>71.85</v>
      </c>
      <c r="M54" s="4">
        <v>66.05</v>
      </c>
      <c r="N54" s="4">
        <v>71.43</v>
      </c>
      <c r="O54" s="4">
        <v>69.89</v>
      </c>
      <c r="P54" s="10">
        <v>1.273899E8</v>
      </c>
    </row>
    <row r="55">
      <c r="A55" s="6">
        <v>45754.0</v>
      </c>
      <c r="B55" s="7">
        <v>302.07</v>
      </c>
      <c r="C55" s="7">
        <v>336.98</v>
      </c>
      <c r="D55" s="7">
        <v>299.0</v>
      </c>
      <c r="E55" s="7">
        <v>333.4</v>
      </c>
      <c r="F55" s="7">
        <v>330.92</v>
      </c>
      <c r="G55" s="8">
        <v>4.86088E7</v>
      </c>
      <c r="J55" s="9">
        <v>45747.0</v>
      </c>
      <c r="K55" s="4">
        <v>70.73</v>
      </c>
      <c r="L55" s="4">
        <v>73.95</v>
      </c>
      <c r="M55" s="4">
        <v>69.79</v>
      </c>
      <c r="N55" s="4">
        <v>69.93</v>
      </c>
      <c r="O55" s="4">
        <v>68.43</v>
      </c>
      <c r="P55" s="10">
        <v>1.054094E8</v>
      </c>
    </row>
    <row r="56">
      <c r="A56" s="6">
        <v>45747.0</v>
      </c>
      <c r="B56" s="7">
        <v>339.35</v>
      </c>
      <c r="C56" s="7">
        <v>351.86</v>
      </c>
      <c r="D56" s="7">
        <v>312.12</v>
      </c>
      <c r="E56" s="7">
        <v>313.13</v>
      </c>
      <c r="F56" s="7">
        <v>310.8</v>
      </c>
      <c r="G56" s="8">
        <v>4.51012E7</v>
      </c>
      <c r="J56" s="9">
        <v>45740.0</v>
      </c>
      <c r="K56" s="4">
        <v>68.8</v>
      </c>
      <c r="L56" s="4">
        <v>71.32</v>
      </c>
      <c r="M56" s="4">
        <v>68.33</v>
      </c>
      <c r="N56" s="4">
        <v>70.37</v>
      </c>
      <c r="O56" s="4">
        <v>68.86</v>
      </c>
      <c r="P56" s="10">
        <v>6.86438E7</v>
      </c>
    </row>
    <row r="57">
      <c r="A57" s="6">
        <v>45740.0</v>
      </c>
      <c r="B57" s="7">
        <v>338.65</v>
      </c>
      <c r="C57" s="7">
        <v>351.62</v>
      </c>
      <c r="D57" s="7">
        <v>337.65</v>
      </c>
      <c r="E57" s="7">
        <v>342.85</v>
      </c>
      <c r="F57" s="7">
        <v>340.3</v>
      </c>
      <c r="G57" s="8">
        <v>2.87358E7</v>
      </c>
      <c r="J57" s="9">
        <v>45733.0</v>
      </c>
      <c r="K57" s="4">
        <v>69.24</v>
      </c>
      <c r="L57" s="4">
        <v>70.19</v>
      </c>
      <c r="M57" s="4">
        <v>68.18</v>
      </c>
      <c r="N57" s="4">
        <v>68.67</v>
      </c>
      <c r="O57" s="4">
        <v>67.19</v>
      </c>
      <c r="P57" s="10">
        <v>1.068472E8</v>
      </c>
    </row>
    <row r="58">
      <c r="A58" s="6">
        <v>45733.0</v>
      </c>
      <c r="B58" s="7">
        <v>330.03</v>
      </c>
      <c r="C58" s="7">
        <v>342.24</v>
      </c>
      <c r="D58" s="7">
        <v>329.76</v>
      </c>
      <c r="E58" s="7">
        <v>335.66</v>
      </c>
      <c r="F58" s="7">
        <v>333.17</v>
      </c>
      <c r="G58" s="8">
        <v>4.2255E7</v>
      </c>
      <c r="J58" s="9">
        <v>45730.0</v>
      </c>
      <c r="K58" s="4" t="s">
        <v>10</v>
      </c>
    </row>
    <row r="59">
      <c r="A59" s="6">
        <v>45726.0</v>
      </c>
      <c r="B59" s="7">
        <v>339.94</v>
      </c>
      <c r="C59" s="7">
        <v>345.01</v>
      </c>
      <c r="D59" s="7">
        <v>326.38</v>
      </c>
      <c r="E59" s="7">
        <v>331.8</v>
      </c>
      <c r="F59" s="7">
        <v>329.34</v>
      </c>
      <c r="G59" s="8">
        <v>4.00017E7</v>
      </c>
      <c r="J59" s="9">
        <v>45726.0</v>
      </c>
      <c r="K59" s="4">
        <v>71.96</v>
      </c>
      <c r="L59" s="4">
        <v>73.22</v>
      </c>
      <c r="M59" s="4">
        <v>68.38</v>
      </c>
      <c r="N59" s="4">
        <v>69.16</v>
      </c>
      <c r="O59" s="4">
        <v>67.18</v>
      </c>
      <c r="P59" s="10">
        <v>1.022026E8</v>
      </c>
    </row>
  </sheetData>
  <mergeCells count="4">
    <mergeCell ref="B7:G7"/>
    <mergeCell ref="B21:G21"/>
    <mergeCell ref="B35:G35"/>
    <mergeCell ref="B49:G49"/>
  </mergeCells>
  <hyperlinks>
    <hyperlink r:id="rId1" ref="F1"/>
    <hyperlink r:id="rId2" ref="O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9.38"/>
    <col customWidth="1" min="10" max="10" width="19.25"/>
  </cols>
  <sheetData>
    <row r="1">
      <c r="A1" s="12" t="s">
        <v>0</v>
      </c>
      <c r="B1" s="13" t="s">
        <v>12</v>
      </c>
      <c r="C1" s="13" t="s">
        <v>13</v>
      </c>
      <c r="F1" s="14" t="s">
        <v>14</v>
      </c>
      <c r="G1" s="15" t="s">
        <v>15</v>
      </c>
      <c r="J1" s="16" t="s">
        <v>16</v>
      </c>
      <c r="K1" s="17"/>
      <c r="L1" s="18"/>
      <c r="N1" s="19" t="s">
        <v>17</v>
      </c>
      <c r="O1" s="17"/>
      <c r="P1" s="18"/>
    </row>
    <row r="2">
      <c r="A2" s="20">
        <v>46091.0</v>
      </c>
      <c r="B2" s="21">
        <f>VLOOKUP(A2,Data!A:G,6,0)</f>
        <v>316.11</v>
      </c>
      <c r="C2" s="21">
        <f>VLOOKUP(A2,Data!J:P,6,0)</f>
        <v>78.13</v>
      </c>
      <c r="F2" s="22">
        <f t="shared" ref="F2:G2" si="1">(B2-B3)/B3</f>
        <v>0.0004430800392</v>
      </c>
      <c r="G2" s="22">
        <f t="shared" si="1"/>
        <v>0.004241645244</v>
      </c>
      <c r="J2" s="23"/>
      <c r="K2" s="24" t="s">
        <v>12</v>
      </c>
      <c r="L2" s="24" t="s">
        <v>13</v>
      </c>
      <c r="N2" s="25"/>
      <c r="O2" s="26" t="s">
        <v>12</v>
      </c>
      <c r="P2" s="27" t="s">
        <v>13</v>
      </c>
    </row>
    <row r="3">
      <c r="A3" s="20">
        <v>46090.0</v>
      </c>
      <c r="B3" s="21">
        <f>VLOOKUP(A3,Data!A:G,6,0)</f>
        <v>315.97</v>
      </c>
      <c r="C3" s="21">
        <f>VLOOKUP(A3,Data!J:P,6,0)</f>
        <v>77.8</v>
      </c>
      <c r="F3" s="22">
        <f t="shared" ref="F3:G3" si="2">(B3-B4)/B4</f>
        <v>-0.004379884043</v>
      </c>
      <c r="G3" s="22">
        <f t="shared" si="2"/>
        <v>0.009865005192</v>
      </c>
      <c r="J3" s="28" t="s">
        <v>18</v>
      </c>
      <c r="K3" s="29">
        <f t="shared" ref="K3:L3" si="3">MAX(F2:F54)</f>
        <v>0.06473616474</v>
      </c>
      <c r="L3" s="29">
        <f t="shared" si="3"/>
        <v>0.05640957091</v>
      </c>
      <c r="N3" s="30" t="s">
        <v>19</v>
      </c>
      <c r="O3" s="28">
        <f t="shared" ref="O3:P3" si="4">0.02/52</f>
        <v>0.0003846153846</v>
      </c>
      <c r="P3" s="28">
        <f t="shared" si="4"/>
        <v>0.0003846153846</v>
      </c>
    </row>
    <row r="4">
      <c r="A4" s="20">
        <v>46083.0</v>
      </c>
      <c r="B4" s="21">
        <f>VLOOKUP(A4,Data!A:G,6,0)</f>
        <v>317.36</v>
      </c>
      <c r="C4" s="21">
        <f>VLOOKUP(A4,Data!J:P,6,0)</f>
        <v>77.04</v>
      </c>
      <c r="F4" s="22">
        <f t="shared" ref="F4:G4" si="5">(B4-B5)/B5</f>
        <v>-0.008683700881</v>
      </c>
      <c r="G4" s="22">
        <f t="shared" si="5"/>
        <v>-0.0554193232</v>
      </c>
      <c r="J4" s="28" t="s">
        <v>20</v>
      </c>
      <c r="K4" s="29">
        <f t="shared" ref="K4:L4" si="6">MIN(F2:F54)</f>
        <v>-0.08668821628</v>
      </c>
      <c r="L4" s="29">
        <f t="shared" si="6"/>
        <v>-0.0554193232</v>
      </c>
      <c r="N4" s="30" t="s">
        <v>21</v>
      </c>
      <c r="O4" s="28">
        <f>(K11-O3)/K14</f>
        <v>-0.02522295155</v>
      </c>
      <c r="P4" s="28">
        <f>(K11-P3)/L14</f>
        <v>-0.03928646537</v>
      </c>
    </row>
    <row r="5">
      <c r="A5" s="20">
        <v>46076.0</v>
      </c>
      <c r="B5" s="21">
        <f>VLOOKUP(A5,Data!A:G,6,0)</f>
        <v>320.14</v>
      </c>
      <c r="C5" s="21">
        <f>VLOOKUP(A5,Data!J:P,6,0)</f>
        <v>81.56</v>
      </c>
      <c r="F5" s="22">
        <f t="shared" ref="F5:G5" si="7">(B5-B6)/B6</f>
        <v>-0.002523757595</v>
      </c>
      <c r="G5" s="22">
        <f t="shared" si="7"/>
        <v>0.02154308617</v>
      </c>
      <c r="J5" s="28" t="s">
        <v>22</v>
      </c>
      <c r="K5" s="28">
        <f t="shared" ref="K5:L5" si="8">K3-K4</f>
        <v>0.151424381</v>
      </c>
      <c r="L5" s="28">
        <f t="shared" si="8"/>
        <v>0.1118288941</v>
      </c>
      <c r="N5" s="28" t="s">
        <v>23</v>
      </c>
      <c r="O5" s="28">
        <f t="shared" ref="O5:P5" si="9">(K3-K11)/K14</f>
        <v>2.231337524</v>
      </c>
      <c r="P5" s="28">
        <f t="shared" si="9"/>
        <v>2.792366562</v>
      </c>
    </row>
    <row r="6">
      <c r="A6" s="20">
        <v>46069.0</v>
      </c>
      <c r="B6" s="21">
        <f>VLOOKUP(A6,Data!A:G,6,0)</f>
        <v>320.95</v>
      </c>
      <c r="C6" s="21">
        <f>VLOOKUP(A6,Data!J:P,6,0)</f>
        <v>79.84</v>
      </c>
      <c r="F6" s="22">
        <f t="shared" ref="F6:G6" si="10">(B6-B7)/B7</f>
        <v>0.02399259803</v>
      </c>
      <c r="G6" s="22">
        <f t="shared" si="10"/>
        <v>0.01474326385</v>
      </c>
      <c r="J6" s="23"/>
      <c r="K6" s="23"/>
      <c r="L6" s="23"/>
      <c r="N6" s="28" t="s">
        <v>24</v>
      </c>
      <c r="O6" s="28">
        <f t="shared" ref="O6:P6" si="11">(K4-K11)/K14</f>
        <v>-2.959827832</v>
      </c>
      <c r="P6" s="28">
        <f t="shared" si="11"/>
        <v>-3.178950573</v>
      </c>
    </row>
    <row r="7">
      <c r="A7" s="20">
        <v>46062.0</v>
      </c>
      <c r="B7" s="21">
        <f>VLOOKUP(A7,Data!A:G,6,0)</f>
        <v>313.43</v>
      </c>
      <c r="C7" s="21">
        <f>VLOOKUP(A7,Data!J:P,6,0)</f>
        <v>78.68</v>
      </c>
      <c r="F7" s="22">
        <f t="shared" ref="F7:G7" si="12">(B7-B8)/B8</f>
        <v>-0.05279540647</v>
      </c>
      <c r="G7" s="22">
        <f t="shared" si="12"/>
        <v>-0.004428697963</v>
      </c>
      <c r="J7" s="28" t="s">
        <v>25</v>
      </c>
      <c r="K7" s="29">
        <f t="shared" ref="K7:L7" si="13">PERCENTILE(F3:F55, 0.75)</f>
        <v>0.02010677427</v>
      </c>
      <c r="L7" s="29">
        <f t="shared" si="13"/>
        <v>0.02091383049</v>
      </c>
    </row>
    <row r="8">
      <c r="A8" s="20">
        <v>46055.0</v>
      </c>
      <c r="B8" s="21">
        <f>VLOOKUP(A8,Data!A:G,6,0)</f>
        <v>330.9</v>
      </c>
      <c r="C8" s="21">
        <f>VLOOKUP(A8,Data!J:P,6,0)</f>
        <v>79.03</v>
      </c>
      <c r="F8" s="22">
        <f t="shared" ref="F8:G8" si="14">(B8-B9)/B9</f>
        <v>0.03029548214</v>
      </c>
      <c r="G8" s="22">
        <f t="shared" si="14"/>
        <v>0.05640957091</v>
      </c>
      <c r="J8" s="28" t="s">
        <v>26</v>
      </c>
      <c r="K8" s="29">
        <f t="shared" ref="K8:L8" si="15">PERCENTILE(F4:F56, 0.25)</f>
        <v>-0.01577859781</v>
      </c>
      <c r="L8" s="29">
        <f t="shared" si="15"/>
        <v>-0.008128549884</v>
      </c>
    </row>
    <row r="9">
      <c r="A9" s="20">
        <v>46048.0</v>
      </c>
      <c r="B9" s="21">
        <f>VLOOKUP(A9,Data!A:G,6,0)</f>
        <v>321.17</v>
      </c>
      <c r="C9" s="21">
        <f>VLOOKUP(A9,Data!J:P,6,0)</f>
        <v>74.81</v>
      </c>
      <c r="F9" s="22">
        <f t="shared" ref="F9:G9" si="16">(B9-B10)/B10</f>
        <v>-0.01333292372</v>
      </c>
      <c r="G9" s="22">
        <f t="shared" si="16"/>
        <v>0.02648188804</v>
      </c>
      <c r="J9" s="28" t="s">
        <v>27</v>
      </c>
      <c r="K9" s="29">
        <f t="shared" ref="K9:L9" si="17">K7-K8</f>
        <v>0.03588537209</v>
      </c>
      <c r="L9" s="29">
        <f t="shared" si="17"/>
        <v>0.02904238037</v>
      </c>
    </row>
    <row r="10">
      <c r="A10" s="20">
        <v>46041.0</v>
      </c>
      <c r="B10" s="21">
        <f>VLOOKUP(A10,Data!A:G,6,0)</f>
        <v>325.51</v>
      </c>
      <c r="C10" s="21">
        <f>VLOOKUP(A10,Data!J:P,6,0)</f>
        <v>72.88</v>
      </c>
      <c r="F10" s="22">
        <f t="shared" ref="F10:G10" si="18">(B10-B11)/B11</f>
        <v>-0.006440388255</v>
      </c>
      <c r="G10" s="22">
        <f t="shared" si="18"/>
        <v>0.03463940943</v>
      </c>
      <c r="J10" s="31"/>
      <c r="K10" s="17"/>
      <c r="L10" s="18"/>
    </row>
    <row r="11">
      <c r="A11" s="20">
        <v>46034.0</v>
      </c>
      <c r="B11" s="21">
        <f>VLOOKUP(A11,Data!A:G,6,0)</f>
        <v>327.62</v>
      </c>
      <c r="C11" s="21">
        <f>VLOOKUP(A11,Data!J:P,6,0)</f>
        <v>70.44</v>
      </c>
      <c r="F11" s="22">
        <f t="shared" ref="F11:G11" si="19">(B11-B12)/B12</f>
        <v>-0.06139521559</v>
      </c>
      <c r="G11" s="22">
        <f t="shared" si="19"/>
        <v>-0.0009927669834</v>
      </c>
      <c r="J11" s="28" t="s">
        <v>28</v>
      </c>
      <c r="K11" s="29">
        <f>AVERAGE(F2:F54)</f>
        <v>-0.00035112882</v>
      </c>
      <c r="L11" s="29">
        <f>AVERAGE(G2:G55)</f>
        <v>0.004115033964</v>
      </c>
    </row>
    <row r="12">
      <c r="A12" s="20">
        <v>46027.0</v>
      </c>
      <c r="B12" s="21">
        <f>VLOOKUP(A12,Data!A:G,6,0)</f>
        <v>349.05</v>
      </c>
      <c r="C12" s="21">
        <f>VLOOKUP(A12,Data!J:P,6,0)</f>
        <v>70.51</v>
      </c>
      <c r="F12" s="22">
        <f t="shared" ref="F12:G12" si="20">(B12-B13)/B13</f>
        <v>0.009486074558</v>
      </c>
      <c r="G12" s="22">
        <f t="shared" si="20"/>
        <v>0.0201099537</v>
      </c>
      <c r="J12" s="28" t="s">
        <v>29</v>
      </c>
      <c r="K12" s="29">
        <f t="shared" ref="K12:L12" si="21">AVEDEV(F2:F55)</f>
        <v>0.02274533979</v>
      </c>
      <c r="L12" s="29">
        <f t="shared" si="21"/>
        <v>0.01480450538</v>
      </c>
    </row>
    <row r="13">
      <c r="A13" s="20">
        <v>46020.0</v>
      </c>
      <c r="B13" s="21">
        <f>VLOOKUP(A13,Data!A:G,6,0)</f>
        <v>345.77</v>
      </c>
      <c r="C13" s="21">
        <f>VLOOKUP(A13,Data!J:P,6,0)</f>
        <v>69.12</v>
      </c>
      <c r="F13" s="22">
        <f t="shared" ref="F13:G13" si="22">(B13-B14)/B14</f>
        <v>-0.02399299969</v>
      </c>
      <c r="G13" s="22">
        <f t="shared" si="22"/>
        <v>-0.0107342207</v>
      </c>
      <c r="J13" s="28" t="s">
        <v>30</v>
      </c>
      <c r="K13" s="29">
        <f t="shared" ref="K13:L13" si="23">_xlfn.VAR.S(F2:F55)</f>
        <v>0.0008508674076</v>
      </c>
      <c r="L13" s="29">
        <f t="shared" si="23"/>
        <v>0.0003507258578</v>
      </c>
    </row>
    <row r="14">
      <c r="A14" s="20">
        <v>46013.0</v>
      </c>
      <c r="B14" s="21">
        <f>VLOOKUP(A14,Data!A:G,6,0)</f>
        <v>354.27</v>
      </c>
      <c r="C14" s="21">
        <f>VLOOKUP(A14,Data!J:P,6,0)</f>
        <v>69.87</v>
      </c>
      <c r="F14" s="22">
        <f t="shared" ref="F14:G14" si="24">(B14-B15)/B15</f>
        <v>0.01646917052</v>
      </c>
      <c r="G14" s="22">
        <f t="shared" si="24"/>
        <v>-0.002711961176</v>
      </c>
      <c r="J14" s="28" t="s">
        <v>31</v>
      </c>
      <c r="K14" s="29">
        <f t="shared" ref="K14:L14" si="25">_xlfn.STDEV.S(F2:F55)</f>
        <v>0.0291696316</v>
      </c>
      <c r="L14" s="29">
        <f t="shared" si="25"/>
        <v>0.01872767625</v>
      </c>
    </row>
    <row r="15">
      <c r="A15" s="20">
        <v>46006.0</v>
      </c>
      <c r="B15" s="21">
        <f>VLOOKUP(A15,Data!A:G,6,0)</f>
        <v>348.53</v>
      </c>
      <c r="C15" s="21">
        <f>VLOOKUP(A15,Data!J:P,6,0)</f>
        <v>70.06</v>
      </c>
      <c r="F15" s="22">
        <f t="shared" ref="F15:G15" si="26">(B15-B16)/B16</f>
        <v>0.004090922186</v>
      </c>
      <c r="G15" s="22">
        <f t="shared" si="26"/>
        <v>-0.006522972206</v>
      </c>
      <c r="J15" s="28" t="s">
        <v>32</v>
      </c>
      <c r="K15" s="28">
        <f>ABS(K14/K11)</f>
        <v>83.07387471</v>
      </c>
      <c r="L15" s="28">
        <f>L14/L11</f>
        <v>4.551038076</v>
      </c>
    </row>
    <row r="16">
      <c r="A16" s="20">
        <v>45999.0</v>
      </c>
      <c r="B16" s="21">
        <f>VLOOKUP(A16,Data!A:G,6,0)</f>
        <v>347.11</v>
      </c>
      <c r="C16" s="21">
        <f>VLOOKUP(A16,Data!J:P,6,0)</f>
        <v>70.52</v>
      </c>
      <c r="F16" s="22">
        <f t="shared" ref="F16:F54" si="27">(B16-B17)/B17</f>
        <v>0.05006655373</v>
      </c>
      <c r="G16" s="22"/>
    </row>
    <row r="17">
      <c r="A17" s="20">
        <v>45992.0</v>
      </c>
      <c r="B17" s="21">
        <f>VLOOKUP(A17,Data!A:G,6,0)</f>
        <v>330.56</v>
      </c>
      <c r="C17" s="21" t="str">
        <f>VLOOKUP(A17,Data!J:P,6,0)</f>
        <v/>
      </c>
      <c r="F17" s="22">
        <f t="shared" si="27"/>
        <v>-0.009558052434</v>
      </c>
      <c r="G17" s="22"/>
    </row>
    <row r="18">
      <c r="A18" s="20">
        <v>45985.0</v>
      </c>
      <c r="B18" s="21">
        <f>VLOOKUP(A18,Data!A:G,6,0)</f>
        <v>333.75</v>
      </c>
      <c r="C18" s="21">
        <f>VLOOKUP(A18,Data!J:P,6,0)</f>
        <v>72.61</v>
      </c>
      <c r="F18" s="22">
        <f t="shared" si="27"/>
        <v>0.01967553695</v>
      </c>
      <c r="G18" s="22">
        <f t="shared" ref="G18:G26" si="28">(C18-C19)/C19</f>
        <v>0.00234676974</v>
      </c>
    </row>
    <row r="19">
      <c r="A19" s="20">
        <v>45978.0</v>
      </c>
      <c r="B19" s="21">
        <f>VLOOKUP(A19,Data!A:G,6,0)</f>
        <v>327.31</v>
      </c>
      <c r="C19" s="21">
        <f>VLOOKUP(A19,Data!J:P,6,0)</f>
        <v>72.44</v>
      </c>
      <c r="F19" s="22">
        <f t="shared" si="27"/>
        <v>-0.004198484895</v>
      </c>
      <c r="G19" s="22">
        <f t="shared" si="28"/>
        <v>0.02519105576</v>
      </c>
    </row>
    <row r="20">
      <c r="A20" s="20">
        <v>45971.0</v>
      </c>
      <c r="B20" s="21">
        <f>VLOOKUP(A20,Data!A:G,6,0)</f>
        <v>328.69</v>
      </c>
      <c r="C20" s="21">
        <f>VLOOKUP(A20,Data!J:P,6,0)</f>
        <v>70.66</v>
      </c>
      <c r="F20" s="22">
        <f t="shared" si="27"/>
        <v>-0.01786834792</v>
      </c>
      <c r="G20" s="22">
        <f t="shared" si="28"/>
        <v>0.008564087925</v>
      </c>
    </row>
    <row r="21">
      <c r="A21" s="20">
        <v>45964.0</v>
      </c>
      <c r="B21" s="21">
        <f>VLOOKUP(A21,Data!A:G,6,0)</f>
        <v>334.67</v>
      </c>
      <c r="C21" s="21">
        <f>VLOOKUP(A21,Data!J:P,6,0)</f>
        <v>70.06</v>
      </c>
      <c r="F21" s="22">
        <f t="shared" si="27"/>
        <v>-0.01384919115</v>
      </c>
      <c r="G21" s="22">
        <f t="shared" si="28"/>
        <v>0.02396959953</v>
      </c>
    </row>
    <row r="22">
      <c r="A22" s="20">
        <v>45957.0</v>
      </c>
      <c r="B22" s="21">
        <f>VLOOKUP(A22,Data!A:G,6,0)</f>
        <v>339.37</v>
      </c>
      <c r="C22" s="21">
        <f>VLOOKUP(A22,Data!J:P,6,0)</f>
        <v>68.42</v>
      </c>
      <c r="F22" s="22">
        <f t="shared" si="27"/>
        <v>-0.01910515059</v>
      </c>
      <c r="G22" s="22">
        <f t="shared" si="28"/>
        <v>-0.01155735337</v>
      </c>
    </row>
    <row r="23">
      <c r="A23" s="20">
        <v>45950.0</v>
      </c>
      <c r="B23" s="21">
        <f>VLOOKUP(A23,Data!A:G,6,0)</f>
        <v>345.98</v>
      </c>
      <c r="C23" s="21">
        <f>VLOOKUP(A23,Data!J:P,6,0)</f>
        <v>69.22</v>
      </c>
      <c r="F23" s="22">
        <f t="shared" si="27"/>
        <v>0.01606413909</v>
      </c>
      <c r="G23" s="22">
        <f t="shared" si="28"/>
        <v>0.01854031783</v>
      </c>
    </row>
    <row r="24">
      <c r="A24" s="20">
        <v>45943.0</v>
      </c>
      <c r="B24" s="21">
        <f>VLOOKUP(A24,Data!A:G,6,0)</f>
        <v>340.51</v>
      </c>
      <c r="C24" s="21">
        <f>VLOOKUP(A24,Data!J:P,6,0)</f>
        <v>67.96</v>
      </c>
      <c r="F24" s="22">
        <f t="shared" si="27"/>
        <v>-0.005113071934</v>
      </c>
      <c r="G24" s="22">
        <f t="shared" si="28"/>
        <v>0.0208802764</v>
      </c>
    </row>
    <row r="25">
      <c r="A25" s="20">
        <v>45936.0</v>
      </c>
      <c r="B25" s="21">
        <f>VLOOKUP(A25,Data!A:G,6,0)</f>
        <v>342.26</v>
      </c>
      <c r="C25" s="21">
        <f>VLOOKUP(A25,Data!J:P,6,0)</f>
        <v>66.57</v>
      </c>
      <c r="F25" s="22">
        <f t="shared" si="27"/>
        <v>-0.01770800448</v>
      </c>
      <c r="G25" s="22">
        <f t="shared" si="28"/>
        <v>0.005741048497</v>
      </c>
    </row>
    <row r="26">
      <c r="A26" s="20">
        <v>45929.0</v>
      </c>
      <c r="B26" s="21">
        <f>VLOOKUP(A26,Data!A:G,6,0)</f>
        <v>348.43</v>
      </c>
      <c r="C26" s="21">
        <f>VLOOKUP(A26,Data!J:P,6,0)</f>
        <v>66.19</v>
      </c>
      <c r="F26" s="22">
        <f t="shared" si="27"/>
        <v>0.03696318562</v>
      </c>
      <c r="G26" s="22">
        <f t="shared" si="28"/>
        <v>0.01502836988</v>
      </c>
    </row>
    <row r="27">
      <c r="A27" s="20">
        <v>45922.0</v>
      </c>
      <c r="B27" s="21">
        <f>VLOOKUP(A27,Data!A:G,6,0)</f>
        <v>336.01</v>
      </c>
      <c r="C27" s="21">
        <f>VLOOKUP(A27,Data!J:P,6,0)</f>
        <v>65.21</v>
      </c>
      <c r="F27" s="22">
        <f t="shared" si="27"/>
        <v>-0.01240337419</v>
      </c>
      <c r="G27" s="22"/>
    </row>
    <row r="28">
      <c r="A28" s="20">
        <v>45915.0</v>
      </c>
      <c r="B28" s="21">
        <f>VLOOKUP(A28,Data!A:G,6,0)</f>
        <v>340.23</v>
      </c>
      <c r="C28" s="21" t="str">
        <f>VLOOKUP(A28,Data!J:P,6,0)</f>
        <v/>
      </c>
      <c r="F28" s="22">
        <f t="shared" si="27"/>
        <v>0.006418978879</v>
      </c>
      <c r="G28" s="22"/>
    </row>
    <row r="29">
      <c r="A29" s="20">
        <v>45908.0</v>
      </c>
      <c r="B29" s="21">
        <f>VLOOKUP(A29,Data!A:G,6,0)</f>
        <v>338.06</v>
      </c>
      <c r="C29" s="21">
        <f>VLOOKUP(A29,Data!J:P,6,0)</f>
        <v>66.04</v>
      </c>
      <c r="F29" s="22">
        <f t="shared" si="27"/>
        <v>-0.01105780482</v>
      </c>
      <c r="G29" s="22">
        <f t="shared" ref="G29:G54" si="29">(C29-C30)/C30</f>
        <v>-0.01388681499</v>
      </c>
    </row>
    <row r="30">
      <c r="A30" s="20">
        <v>45901.0</v>
      </c>
      <c r="B30" s="21">
        <f>VLOOKUP(A30,Data!A:G,6,0)</f>
        <v>341.84</v>
      </c>
      <c r="C30" s="21">
        <f>VLOOKUP(A30,Data!J:P,6,0)</f>
        <v>66.97</v>
      </c>
      <c r="F30" s="22">
        <f t="shared" si="27"/>
        <v>-0.0243178445</v>
      </c>
      <c r="G30" s="22">
        <f t="shared" si="29"/>
        <v>-0.01500220621</v>
      </c>
    </row>
    <row r="31">
      <c r="A31" s="20">
        <v>45894.0</v>
      </c>
      <c r="B31" s="21">
        <f>VLOOKUP(A31,Data!A:G,6,0)</f>
        <v>350.36</v>
      </c>
      <c r="C31" s="21">
        <f>VLOOKUP(A31,Data!J:P,6,0)</f>
        <v>67.99</v>
      </c>
      <c r="F31" s="22">
        <f t="shared" si="27"/>
        <v>0.004962280928</v>
      </c>
      <c r="G31" s="22">
        <f t="shared" si="29"/>
        <v>-0.01620604833</v>
      </c>
    </row>
    <row r="32">
      <c r="A32" s="20">
        <v>45887.0</v>
      </c>
      <c r="B32" s="21">
        <f>VLOOKUP(A32,Data!A:G,6,0)</f>
        <v>348.63</v>
      </c>
      <c r="C32" s="21">
        <f>VLOOKUP(A32,Data!J:P,6,0)</f>
        <v>69.11</v>
      </c>
      <c r="F32" s="22">
        <f t="shared" si="27"/>
        <v>0.01795725298</v>
      </c>
      <c r="G32" s="22">
        <f t="shared" si="29"/>
        <v>0.003047895501</v>
      </c>
    </row>
    <row r="33">
      <c r="A33" s="20">
        <v>45880.0</v>
      </c>
      <c r="B33" s="21">
        <f>VLOOKUP(A33,Data!A:G,6,0)</f>
        <v>342.48</v>
      </c>
      <c r="C33" s="21">
        <f>VLOOKUP(A33,Data!J:P,6,0)</f>
        <v>68.9</v>
      </c>
      <c r="F33" s="22">
        <f t="shared" si="27"/>
        <v>0.02284741511</v>
      </c>
      <c r="G33" s="22">
        <f t="shared" si="29"/>
        <v>-0.006058857473</v>
      </c>
    </row>
    <row r="34">
      <c r="A34" s="20">
        <v>45873.0</v>
      </c>
      <c r="B34" s="21">
        <f>VLOOKUP(A34,Data!A:G,6,0)</f>
        <v>334.83</v>
      </c>
      <c r="C34" s="21">
        <f>VLOOKUP(A34,Data!J:P,6,0)</f>
        <v>69.32</v>
      </c>
      <c r="F34" s="22">
        <f t="shared" si="27"/>
        <v>-0.0075876582</v>
      </c>
      <c r="G34" s="22">
        <f t="shared" si="29"/>
        <v>0.02151488358</v>
      </c>
    </row>
    <row r="35">
      <c r="A35" s="20">
        <v>45866.0</v>
      </c>
      <c r="B35" s="21">
        <f>VLOOKUP(A35,Data!A:G,6,0)</f>
        <v>337.39</v>
      </c>
      <c r="C35" s="21">
        <f>VLOOKUP(A35,Data!J:P,6,0)</f>
        <v>67.86</v>
      </c>
      <c r="F35" s="22">
        <f t="shared" si="27"/>
        <v>-0.04955208744</v>
      </c>
      <c r="G35" s="22">
        <f t="shared" si="29"/>
        <v>-0.004401408451</v>
      </c>
    </row>
    <row r="36">
      <c r="A36" s="20">
        <v>45859.0</v>
      </c>
      <c r="B36" s="21">
        <f>VLOOKUP(A36,Data!A:G,6,0)</f>
        <v>354.98</v>
      </c>
      <c r="C36" s="21">
        <f>VLOOKUP(A36,Data!J:P,6,0)</f>
        <v>68.16</v>
      </c>
      <c r="F36" s="22">
        <f t="shared" si="27"/>
        <v>0.02290868225</v>
      </c>
      <c r="G36" s="22">
        <f t="shared" si="29"/>
        <v>-0.009734127561</v>
      </c>
    </row>
    <row r="37">
      <c r="A37" s="20">
        <v>45852.0</v>
      </c>
      <c r="B37" s="21">
        <f>VLOOKUP(A37,Data!A:G,6,0)</f>
        <v>347.03</v>
      </c>
      <c r="C37" s="21">
        <f>VLOOKUP(A37,Data!J:P,6,0)</f>
        <v>68.83</v>
      </c>
      <c r="F37" s="22">
        <f t="shared" si="27"/>
        <v>0.003208834413</v>
      </c>
      <c r="G37" s="22">
        <f t="shared" si="29"/>
        <v>-0.000290486565</v>
      </c>
    </row>
    <row r="38">
      <c r="A38" s="20">
        <v>45845.0</v>
      </c>
      <c r="B38" s="21">
        <f>VLOOKUP(A38,Data!A:G,6,0)</f>
        <v>345.92</v>
      </c>
      <c r="C38" s="21">
        <f>VLOOKUP(A38,Data!J:P,6,0)</f>
        <v>68.85</v>
      </c>
      <c r="F38" s="22">
        <f t="shared" si="27"/>
        <v>-0.03046610051</v>
      </c>
      <c r="G38" s="22">
        <f t="shared" si="29"/>
        <v>-0.02076518276</v>
      </c>
    </row>
    <row r="39">
      <c r="A39" s="20">
        <v>45838.0</v>
      </c>
      <c r="B39" s="21">
        <f>VLOOKUP(A39,Data!A:G,6,0)</f>
        <v>356.79</v>
      </c>
      <c r="C39" s="21">
        <f>VLOOKUP(A39,Data!J:P,6,0)</f>
        <v>70.31</v>
      </c>
      <c r="F39" s="22">
        <f t="shared" si="27"/>
        <v>0.02939988459</v>
      </c>
      <c r="G39" s="22">
        <f t="shared" si="29"/>
        <v>0.01442793248</v>
      </c>
    </row>
    <row r="40">
      <c r="A40" s="20">
        <v>45831.0</v>
      </c>
      <c r="B40" s="21">
        <f>VLOOKUP(A40,Data!A:G,6,0)</f>
        <v>346.6</v>
      </c>
      <c r="C40" s="21">
        <f>VLOOKUP(A40,Data!J:P,6,0)</f>
        <v>69.31</v>
      </c>
      <c r="F40" s="22">
        <f t="shared" si="27"/>
        <v>0.02967826268</v>
      </c>
      <c r="G40" s="22">
        <f t="shared" si="29"/>
        <v>0.02166863208</v>
      </c>
    </row>
    <row r="41">
      <c r="A41" s="20">
        <v>45824.0</v>
      </c>
      <c r="B41" s="21">
        <f>VLOOKUP(A41,Data!A:G,6,0)</f>
        <v>336.61</v>
      </c>
      <c r="C41" s="21">
        <f>VLOOKUP(A41,Data!J:P,6,0)</f>
        <v>67.84</v>
      </c>
      <c r="F41" s="22">
        <f t="shared" si="27"/>
        <v>-0.04047775149</v>
      </c>
      <c r="G41" s="22">
        <f t="shared" si="29"/>
        <v>-0.02374442366</v>
      </c>
    </row>
    <row r="42">
      <c r="A42" s="20">
        <v>45817.0</v>
      </c>
      <c r="B42" s="21">
        <f>VLOOKUP(A42,Data!A:G,6,0)</f>
        <v>350.81</v>
      </c>
      <c r="C42" s="21">
        <f>VLOOKUP(A42,Data!J:P,6,0)</f>
        <v>69.49</v>
      </c>
      <c r="F42" s="22">
        <f t="shared" si="27"/>
        <v>-0.04691914801</v>
      </c>
      <c r="G42" s="22">
        <f t="shared" si="29"/>
        <v>-0.004726439416</v>
      </c>
    </row>
    <row r="43">
      <c r="A43" s="20">
        <v>45810.0</v>
      </c>
      <c r="B43" s="21">
        <f>VLOOKUP(A43,Data!A:G,6,0)</f>
        <v>368.08</v>
      </c>
      <c r="C43" s="21">
        <f>VLOOKUP(A43,Data!J:P,6,0)</f>
        <v>69.82</v>
      </c>
      <c r="F43" s="22">
        <f t="shared" si="27"/>
        <v>0.01377106974</v>
      </c>
      <c r="G43" s="22">
        <f t="shared" si="29"/>
        <v>-0.01034727144</v>
      </c>
    </row>
    <row r="44">
      <c r="A44" s="20">
        <v>45803.0</v>
      </c>
      <c r="B44" s="21">
        <f>VLOOKUP(A44,Data!A:G,6,0)</f>
        <v>363.08</v>
      </c>
      <c r="C44" s="21">
        <f>VLOOKUP(A44,Data!J:P,6,0)</f>
        <v>70.55</v>
      </c>
      <c r="F44" s="22">
        <f t="shared" si="27"/>
        <v>0.03294452347</v>
      </c>
      <c r="G44" s="22">
        <f t="shared" si="29"/>
        <v>0.004556457354</v>
      </c>
    </row>
    <row r="45">
      <c r="A45" s="20">
        <v>45796.0</v>
      </c>
      <c r="B45" s="21">
        <f>VLOOKUP(A45,Data!A:G,6,0)</f>
        <v>351.5</v>
      </c>
      <c r="C45" s="21">
        <f>VLOOKUP(A45,Data!J:P,6,0)</f>
        <v>70.23</v>
      </c>
      <c r="F45" s="22">
        <f t="shared" si="27"/>
        <v>-0.03010402583</v>
      </c>
      <c r="G45" s="22">
        <f t="shared" si="29"/>
        <v>-0.003122782115</v>
      </c>
    </row>
    <row r="46">
      <c r="A46" s="20">
        <v>45789.0</v>
      </c>
      <c r="B46" s="21">
        <f>VLOOKUP(A46,Data!A:G,6,0)</f>
        <v>362.41</v>
      </c>
      <c r="C46" s="21">
        <f>VLOOKUP(A46,Data!J:P,6,0)</f>
        <v>70.45</v>
      </c>
      <c r="F46" s="22">
        <f t="shared" si="27"/>
        <v>0.03569387289</v>
      </c>
      <c r="G46" s="22">
        <f t="shared" si="29"/>
        <v>0.02101449275</v>
      </c>
    </row>
    <row r="47">
      <c r="A47" s="20">
        <v>45782.0</v>
      </c>
      <c r="B47" s="21">
        <f>VLOOKUP(A47,Data!A:G,6,0)</f>
        <v>349.92</v>
      </c>
      <c r="C47" s="21">
        <f>VLOOKUP(A47,Data!J:P,6,0)</f>
        <v>69</v>
      </c>
      <c r="F47" s="22">
        <f t="shared" si="27"/>
        <v>0.01420207524</v>
      </c>
      <c r="G47" s="22">
        <f t="shared" si="29"/>
        <v>-0.01583226359</v>
      </c>
    </row>
    <row r="48">
      <c r="A48" s="20">
        <v>45775.0</v>
      </c>
      <c r="B48" s="21">
        <f>VLOOKUP(A48,Data!A:G,6,0)</f>
        <v>345.02</v>
      </c>
      <c r="C48" s="21">
        <f>VLOOKUP(A48,Data!J:P,6,0)</f>
        <v>70.11</v>
      </c>
      <c r="F48" s="22">
        <f t="shared" si="27"/>
        <v>0.0370927017</v>
      </c>
      <c r="G48" s="22">
        <f t="shared" si="29"/>
        <v>-0.003553155202</v>
      </c>
    </row>
    <row r="49">
      <c r="A49" s="20">
        <v>45768.0</v>
      </c>
      <c r="B49" s="21">
        <f>VLOOKUP(A49,Data!A:G,6,0)</f>
        <v>332.68</v>
      </c>
      <c r="C49" s="21">
        <f>VLOOKUP(A49,Data!J:P,6,0)</f>
        <v>70.36</v>
      </c>
      <c r="F49" s="22">
        <f t="shared" si="27"/>
        <v>0.0168724783</v>
      </c>
      <c r="G49" s="22">
        <f t="shared" si="29"/>
        <v>-0.01497970041</v>
      </c>
    </row>
    <row r="50">
      <c r="A50" s="20">
        <v>45761.0</v>
      </c>
      <c r="B50" s="21">
        <f>VLOOKUP(A50,Data!A:G,6,0)</f>
        <v>327.16</v>
      </c>
      <c r="C50" s="21">
        <f>VLOOKUP(A50,Data!J:P,6,0)</f>
        <v>71.43</v>
      </c>
      <c r="F50" s="22">
        <f t="shared" si="27"/>
        <v>-0.01136226278</v>
      </c>
      <c r="G50" s="22">
        <f t="shared" si="29"/>
        <v>0.02203462584</v>
      </c>
    </row>
    <row r="51">
      <c r="A51" s="20">
        <v>45754.0</v>
      </c>
      <c r="B51" s="21">
        <f>VLOOKUP(A51,Data!A:G,6,0)</f>
        <v>330.92</v>
      </c>
      <c r="C51" s="21">
        <f>VLOOKUP(A51,Data!J:P,6,0)</f>
        <v>69.89</v>
      </c>
      <c r="F51" s="22">
        <f t="shared" si="27"/>
        <v>0.06473616474</v>
      </c>
      <c r="G51" s="22">
        <f t="shared" si="29"/>
        <v>0.02133567149</v>
      </c>
    </row>
    <row r="52">
      <c r="A52" s="20">
        <v>45747.0</v>
      </c>
      <c r="B52" s="21">
        <f>VLOOKUP(A52,Data!A:G,6,0)</f>
        <v>310.8</v>
      </c>
      <c r="C52" s="21">
        <f>VLOOKUP(A52,Data!J:P,6,0)</f>
        <v>68.43</v>
      </c>
      <c r="F52" s="22">
        <f t="shared" si="27"/>
        <v>-0.08668821628</v>
      </c>
      <c r="G52" s="22">
        <f t="shared" si="29"/>
        <v>-0.006244554168</v>
      </c>
    </row>
    <row r="53">
      <c r="A53" s="20">
        <v>45740.0</v>
      </c>
      <c r="B53" s="21">
        <f>VLOOKUP(A53,Data!A:G,6,0)</f>
        <v>340.3</v>
      </c>
      <c r="C53" s="21">
        <f>VLOOKUP(A53,Data!J:P,6,0)</f>
        <v>68.86</v>
      </c>
      <c r="F53" s="22">
        <f t="shared" si="27"/>
        <v>0.02140048624</v>
      </c>
      <c r="G53" s="22">
        <f t="shared" si="29"/>
        <v>0.02485488912</v>
      </c>
    </row>
    <row r="54">
      <c r="A54" s="20">
        <v>45733.0</v>
      </c>
      <c r="B54" s="21">
        <f>VLOOKUP(A54,Data!A:G,6,0)</f>
        <v>333.17</v>
      </c>
      <c r="C54" s="21">
        <f>VLOOKUP(A54,Data!J:P,6,0)</f>
        <v>67.19</v>
      </c>
      <c r="F54" s="22">
        <f t="shared" si="27"/>
        <v>0.01162931924</v>
      </c>
      <c r="G54" s="22">
        <f t="shared" si="29"/>
        <v>0.0001488538255</v>
      </c>
    </row>
    <row r="55">
      <c r="A55" s="20">
        <v>45726.0</v>
      </c>
      <c r="B55" s="21">
        <f>VLOOKUP(A55,Data!A:G,6,0)</f>
        <v>329.34</v>
      </c>
      <c r="C55" s="21">
        <f>VLOOKUP(A55,Data!J:P,6,0)</f>
        <v>67.18</v>
      </c>
      <c r="F55" s="32"/>
      <c r="G55" s="32"/>
    </row>
  </sheetData>
  <mergeCells count="3">
    <mergeCell ref="J1:L1"/>
    <mergeCell ref="J10:L10"/>
    <mergeCell ref="N1:P1"/>
  </mergeCells>
  <hyperlinks>
    <hyperlink r:id="rId1" ref="B1"/>
    <hyperlink r:id="rId2" ref="C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0</v>
      </c>
      <c r="B1" s="34" t="s">
        <v>12</v>
      </c>
      <c r="C1" s="34" t="s">
        <v>13</v>
      </c>
    </row>
    <row r="2">
      <c r="A2" s="20">
        <v>46091.0</v>
      </c>
      <c r="B2" s="22">
        <v>4.4308003924418884E-4</v>
      </c>
      <c r="C2" s="22">
        <v>0.004241645244215916</v>
      </c>
      <c r="F2" s="35" t="s">
        <v>33</v>
      </c>
      <c r="H2" s="36"/>
      <c r="I2" s="36"/>
      <c r="J2" s="36"/>
      <c r="K2" s="36"/>
      <c r="L2" s="36"/>
      <c r="M2" s="36"/>
      <c r="N2" s="36"/>
    </row>
    <row r="3">
      <c r="A3" s="20">
        <v>46090.0</v>
      </c>
      <c r="B3" s="22">
        <v>-0.004379884043357657</v>
      </c>
      <c r="C3" s="22">
        <v>0.009865005192107878</v>
      </c>
      <c r="F3" s="36"/>
      <c r="G3" s="36"/>
      <c r="H3" s="36"/>
      <c r="I3" s="36"/>
      <c r="J3" s="36"/>
      <c r="K3" s="36"/>
      <c r="L3" s="36"/>
      <c r="M3" s="36"/>
      <c r="N3" s="36"/>
    </row>
    <row r="4">
      <c r="A4" s="20">
        <v>46083.0</v>
      </c>
      <c r="B4" s="22">
        <v>-0.008683700880864537</v>
      </c>
      <c r="C4" s="22">
        <v>-0.05541932319764586</v>
      </c>
      <c r="F4" s="37" t="s">
        <v>34</v>
      </c>
      <c r="G4" s="17"/>
      <c r="H4" s="36"/>
      <c r="I4" s="36"/>
      <c r="J4" s="36"/>
      <c r="K4" s="36"/>
      <c r="L4" s="36"/>
      <c r="M4" s="36"/>
      <c r="N4" s="36"/>
    </row>
    <row r="5">
      <c r="A5" s="20">
        <v>46076.0</v>
      </c>
      <c r="B5" s="22">
        <v>-0.002523757594640917</v>
      </c>
      <c r="C5" s="22">
        <v>0.021543086172344673</v>
      </c>
      <c r="F5" s="35" t="s">
        <v>35</v>
      </c>
      <c r="G5" s="38" t="s">
        <v>36</v>
      </c>
      <c r="H5" s="36"/>
      <c r="I5" s="36"/>
      <c r="J5" s="36"/>
      <c r="K5" s="36"/>
      <c r="L5" s="36"/>
      <c r="M5" s="36"/>
      <c r="N5" s="36"/>
    </row>
    <row r="6">
      <c r="A6" s="20">
        <v>46069.0</v>
      </c>
      <c r="B6" s="22">
        <v>0.023992598028267816</v>
      </c>
      <c r="C6" s="22">
        <v>0.014743263853584094</v>
      </c>
      <c r="F6" s="35" t="s">
        <v>37</v>
      </c>
      <c r="G6" s="38" t="s">
        <v>38</v>
      </c>
      <c r="H6" s="36"/>
      <c r="I6" s="36"/>
      <c r="J6" s="36"/>
      <c r="K6" s="36"/>
      <c r="L6" s="36"/>
      <c r="M6" s="36"/>
      <c r="N6" s="36"/>
    </row>
    <row r="7">
      <c r="A7" s="20">
        <v>46062.0</v>
      </c>
      <c r="B7" s="22">
        <v>-0.05279540646721055</v>
      </c>
      <c r="C7" s="22">
        <v>-0.0044286979627988655</v>
      </c>
      <c r="F7" s="35" t="s">
        <v>39</v>
      </c>
      <c r="G7" s="38" t="s">
        <v>40</v>
      </c>
      <c r="H7" s="36"/>
      <c r="I7" s="36"/>
      <c r="J7" s="36"/>
      <c r="K7" s="36"/>
      <c r="L7" s="36"/>
      <c r="M7" s="36"/>
      <c r="N7" s="36"/>
    </row>
    <row r="8">
      <c r="A8" s="20">
        <v>46055.0</v>
      </c>
      <c r="B8" s="22">
        <v>0.030295482143413023</v>
      </c>
      <c r="C8" s="22">
        <v>0.05640957091297953</v>
      </c>
      <c r="F8" s="35" t="s">
        <v>41</v>
      </c>
      <c r="G8" s="38" t="s">
        <v>42</v>
      </c>
      <c r="H8" s="36"/>
      <c r="I8" s="36"/>
      <c r="J8" s="36"/>
      <c r="K8" s="36"/>
      <c r="L8" s="36"/>
      <c r="M8" s="36"/>
      <c r="N8" s="36"/>
    </row>
    <row r="9">
      <c r="A9" s="20">
        <v>46048.0</v>
      </c>
      <c r="B9" s="22">
        <v>-0.013332923719701316</v>
      </c>
      <c r="C9" s="22">
        <v>0.02648188803512633</v>
      </c>
      <c r="F9" s="39" t="s">
        <v>43</v>
      </c>
      <c r="G9" s="40" t="s">
        <v>44</v>
      </c>
      <c r="H9" s="36"/>
      <c r="I9" s="36"/>
      <c r="J9" s="36"/>
      <c r="K9" s="36"/>
      <c r="L9" s="36"/>
      <c r="M9" s="36"/>
      <c r="N9" s="36"/>
    </row>
    <row r="10">
      <c r="A10" s="20">
        <v>46041.0</v>
      </c>
      <c r="B10" s="22">
        <v>-0.0064403882546853475</v>
      </c>
      <c r="C10" s="22">
        <v>0.03463940942646221</v>
      </c>
      <c r="F10" s="36"/>
      <c r="G10" s="36"/>
      <c r="H10" s="36"/>
      <c r="I10" s="36"/>
      <c r="J10" s="36"/>
      <c r="K10" s="36"/>
      <c r="L10" s="36"/>
      <c r="M10" s="36"/>
      <c r="N10" s="36"/>
    </row>
    <row r="11">
      <c r="A11" s="20">
        <v>46034.0</v>
      </c>
      <c r="B11" s="22">
        <v>-0.061395215585159736</v>
      </c>
      <c r="C11" s="22">
        <v>-9.927669834067137E-4</v>
      </c>
      <c r="F11" s="35" t="s">
        <v>45</v>
      </c>
      <c r="G11" s="36"/>
      <c r="H11" s="36"/>
      <c r="I11" s="36"/>
      <c r="J11" s="36"/>
      <c r="K11" s="36"/>
      <c r="L11" s="36"/>
      <c r="M11" s="36"/>
      <c r="N11" s="36"/>
    </row>
    <row r="12">
      <c r="A12" s="20">
        <v>46027.0</v>
      </c>
      <c r="B12" s="22">
        <v>0.009486074558232437</v>
      </c>
      <c r="C12" s="22">
        <v>0.02010995370370371</v>
      </c>
      <c r="F12" s="41"/>
      <c r="G12" s="37" t="s">
        <v>46</v>
      </c>
      <c r="H12" s="37" t="s">
        <v>47</v>
      </c>
      <c r="I12" s="37" t="s">
        <v>48</v>
      </c>
      <c r="J12" s="37" t="s">
        <v>49</v>
      </c>
      <c r="K12" s="37" t="s">
        <v>50</v>
      </c>
      <c r="L12" s="36"/>
      <c r="M12" s="36"/>
      <c r="N12" s="36"/>
    </row>
    <row r="13">
      <c r="A13" s="20">
        <v>46020.0</v>
      </c>
      <c r="B13" s="22">
        <v>-0.02399299968950236</v>
      </c>
      <c r="C13" s="22">
        <v>-0.010734220695577501</v>
      </c>
      <c r="F13" s="35" t="s">
        <v>51</v>
      </c>
      <c r="G13" s="38" t="s">
        <v>52</v>
      </c>
      <c r="H13" s="38" t="s">
        <v>53</v>
      </c>
      <c r="I13" s="38" t="s">
        <v>53</v>
      </c>
      <c r="J13" s="38" t="s">
        <v>54</v>
      </c>
      <c r="K13" s="38" t="s">
        <v>55</v>
      </c>
      <c r="L13" s="36"/>
      <c r="M13" s="36"/>
      <c r="N13" s="36"/>
    </row>
    <row r="14">
      <c r="A14" s="20">
        <v>46013.0</v>
      </c>
      <c r="B14" s="22">
        <v>0.016469170516167933</v>
      </c>
      <c r="C14" s="22">
        <v>-0.002711961176134709</v>
      </c>
      <c r="F14" s="35" t="s">
        <v>56</v>
      </c>
      <c r="G14" s="38" t="s">
        <v>57</v>
      </c>
      <c r="H14" s="38" t="s">
        <v>58</v>
      </c>
      <c r="I14" s="38" t="s">
        <v>59</v>
      </c>
      <c r="J14" s="36"/>
      <c r="K14" s="36"/>
      <c r="L14" s="36"/>
      <c r="M14" s="36"/>
      <c r="N14" s="36"/>
    </row>
    <row r="15">
      <c r="A15" s="20">
        <v>46006.0</v>
      </c>
      <c r="B15" s="22">
        <v>0.004090922186050413</v>
      </c>
      <c r="C15" s="22">
        <v>-0.006522972206466162</v>
      </c>
      <c r="F15" s="39" t="s">
        <v>60</v>
      </c>
      <c r="G15" s="40" t="s">
        <v>61</v>
      </c>
      <c r="H15" s="40" t="s">
        <v>62</v>
      </c>
      <c r="I15" s="42"/>
      <c r="J15" s="42"/>
      <c r="K15" s="42"/>
      <c r="L15" s="36"/>
      <c r="M15" s="36"/>
      <c r="N15" s="36"/>
    </row>
    <row r="16">
      <c r="A16" s="20">
        <v>45999.0</v>
      </c>
      <c r="B16" s="22">
        <v>0.050066553727008745</v>
      </c>
      <c r="C16" s="22"/>
      <c r="F16" s="36"/>
      <c r="G16" s="36"/>
      <c r="H16" s="36"/>
      <c r="I16" s="36"/>
      <c r="J16" s="36"/>
      <c r="K16" s="36"/>
      <c r="L16" s="36"/>
      <c r="M16" s="36"/>
      <c r="N16" s="36"/>
    </row>
    <row r="17">
      <c r="A17" s="20">
        <v>45992.0</v>
      </c>
      <c r="B17" s="22">
        <v>-0.009558052434456923</v>
      </c>
      <c r="C17" s="22"/>
      <c r="F17" s="41"/>
      <c r="G17" s="37" t="s">
        <v>63</v>
      </c>
      <c r="H17" s="37" t="s">
        <v>41</v>
      </c>
      <c r="I17" s="37" t="s">
        <v>64</v>
      </c>
      <c r="J17" s="37" t="s">
        <v>65</v>
      </c>
      <c r="K17" s="37" t="s">
        <v>66</v>
      </c>
      <c r="L17" s="37" t="s">
        <v>67</v>
      </c>
      <c r="M17" s="37" t="s">
        <v>68</v>
      </c>
      <c r="N17" s="37" t="s">
        <v>69</v>
      </c>
    </row>
    <row r="18">
      <c r="A18" s="20">
        <v>45985.0</v>
      </c>
      <c r="B18" s="22">
        <v>0.019675536952735932</v>
      </c>
      <c r="C18" s="22">
        <v>0.0023467697404748996</v>
      </c>
      <c r="F18" s="35" t="s">
        <v>70</v>
      </c>
      <c r="G18" s="38" t="s">
        <v>71</v>
      </c>
      <c r="H18" s="38" t="s">
        <v>72</v>
      </c>
      <c r="I18" s="38" t="s">
        <v>73</v>
      </c>
      <c r="J18" s="38" t="s">
        <v>74</v>
      </c>
      <c r="K18" s="38" t="s">
        <v>75</v>
      </c>
      <c r="L18" s="38" t="s">
        <v>76</v>
      </c>
      <c r="M18" s="38" t="s">
        <v>75</v>
      </c>
      <c r="N18" s="38" t="s">
        <v>76</v>
      </c>
    </row>
    <row r="19">
      <c r="A19" s="20">
        <v>45978.0</v>
      </c>
      <c r="B19" s="22">
        <v>-0.004198484894581507</v>
      </c>
      <c r="C19" s="22">
        <v>0.025191055759977373</v>
      </c>
      <c r="F19" s="39" t="s">
        <v>13</v>
      </c>
      <c r="G19" s="40" t="s">
        <v>77</v>
      </c>
      <c r="H19" s="40" t="s">
        <v>78</v>
      </c>
      <c r="I19" s="40" t="s">
        <v>79</v>
      </c>
      <c r="J19" s="40" t="s">
        <v>55</v>
      </c>
      <c r="K19" s="40" t="s">
        <v>80</v>
      </c>
      <c r="L19" s="40" t="s">
        <v>81</v>
      </c>
      <c r="M19" s="40" t="s">
        <v>80</v>
      </c>
      <c r="N19" s="40" t="s">
        <v>81</v>
      </c>
    </row>
    <row r="20">
      <c r="A20" s="20">
        <v>45971.0</v>
      </c>
      <c r="B20" s="22">
        <v>-0.01786834792482152</v>
      </c>
      <c r="C20" s="22">
        <v>0.008564087924635946</v>
      </c>
      <c r="F20" s="43"/>
      <c r="G20" s="44"/>
      <c r="H20" s="44"/>
      <c r="I20" s="44"/>
      <c r="J20" s="44"/>
      <c r="K20" s="44"/>
      <c r="L20" s="44"/>
      <c r="M20" s="44"/>
      <c r="N20" s="44"/>
    </row>
    <row r="21">
      <c r="A21" s="20">
        <v>45964.0</v>
      </c>
      <c r="B21" s="22">
        <v>-0.013849191148304177</v>
      </c>
      <c r="C21" s="22">
        <v>0.023969599532300503</v>
      </c>
      <c r="F21" s="43"/>
      <c r="G21" s="44"/>
      <c r="H21" s="44"/>
      <c r="I21" s="44"/>
      <c r="J21" s="44"/>
      <c r="K21" s="44"/>
      <c r="L21" s="44"/>
      <c r="M21" s="44"/>
      <c r="N21" s="44"/>
    </row>
    <row r="22">
      <c r="A22" s="20">
        <v>45957.0</v>
      </c>
      <c r="B22" s="22">
        <v>-0.019105150586739155</v>
      </c>
      <c r="C22" s="22">
        <v>-0.011557353366079126</v>
      </c>
    </row>
    <row r="23">
      <c r="A23" s="20">
        <v>45950.0</v>
      </c>
      <c r="B23" s="22">
        <v>0.016064139085489492</v>
      </c>
      <c r="C23" s="22">
        <v>0.01854031783402009</v>
      </c>
      <c r="F23" s="45"/>
      <c r="G23" s="46" t="s">
        <v>82</v>
      </c>
      <c r="H23" s="46" t="s">
        <v>83</v>
      </c>
      <c r="J23" s="47" t="s">
        <v>84</v>
      </c>
      <c r="K23" s="18"/>
      <c r="L23" s="48"/>
    </row>
    <row r="24">
      <c r="A24" s="20">
        <v>45943.0</v>
      </c>
      <c r="B24" s="22">
        <v>-0.005113071933617717</v>
      </c>
      <c r="C24" s="22">
        <v>0.020880276400781144</v>
      </c>
      <c r="F24" s="49" t="s">
        <v>85</v>
      </c>
      <c r="G24" s="28">
        <f>correl(B2:B54, C2:C54)</f>
        <v>0.3257401319</v>
      </c>
      <c r="H24" s="28">
        <f>_xlfn.COVARIANCE.S(B2:B54, C2:C54)</f>
        <v>0.000179159461</v>
      </c>
      <c r="J24" s="28" t="s">
        <v>86</v>
      </c>
      <c r="K24" s="28" t="str">
        <f t="shared" ref="K24:K25" si="1">G18</f>
        <v>-0,00316</v>
      </c>
      <c r="L24" s="50"/>
    </row>
    <row r="25">
      <c r="A25" s="20">
        <v>45936.0</v>
      </c>
      <c r="B25" s="22">
        <v>-0.017708004477226463</v>
      </c>
      <c r="C25" s="22">
        <v>0.005741048496751707</v>
      </c>
      <c r="J25" s="28" t="s">
        <v>87</v>
      </c>
      <c r="K25" s="28" t="str">
        <f t="shared" si="1"/>
        <v>0,504919</v>
      </c>
      <c r="L25" s="50"/>
    </row>
    <row r="26">
      <c r="A26" s="20">
        <v>45929.0</v>
      </c>
      <c r="B26" s="22">
        <v>0.03696318561947566</v>
      </c>
      <c r="C26" s="22">
        <v>0.015028369881920014</v>
      </c>
      <c r="J26" s="28" t="s">
        <v>88</v>
      </c>
      <c r="K26" s="28" t="str">
        <f>J19</f>
        <v>0,024056</v>
      </c>
      <c r="L26" s="50"/>
    </row>
    <row r="27">
      <c r="A27" s="20">
        <v>45922.0</v>
      </c>
      <c r="B27" s="22">
        <v>-0.01240337418804934</v>
      </c>
      <c r="C27" s="22"/>
      <c r="J27" s="28" t="s">
        <v>89</v>
      </c>
      <c r="K27" s="28" t="str">
        <f>G6</f>
        <v>0,10368</v>
      </c>
      <c r="L27" s="50"/>
    </row>
    <row r="28">
      <c r="A28" s="20">
        <v>45915.0</v>
      </c>
      <c r="B28" s="22">
        <v>0.0064189788794888954</v>
      </c>
      <c r="C28" s="22"/>
      <c r="J28" s="28" t="s">
        <v>90</v>
      </c>
      <c r="K28" s="28" t="str">
        <f>K13</f>
        <v>0,024056</v>
      </c>
      <c r="L28" s="50"/>
    </row>
    <row r="29">
      <c r="A29" s="20">
        <v>45908.0</v>
      </c>
      <c r="B29" s="22">
        <v>-0.011057804820968796</v>
      </c>
      <c r="C29" s="22">
        <v>-0.013886814991787257</v>
      </c>
    </row>
    <row r="30">
      <c r="A30" s="20">
        <v>45901.0</v>
      </c>
      <c r="B30" s="22">
        <v>-0.024317844502797233</v>
      </c>
      <c r="C30" s="22">
        <v>-0.015002206206795059</v>
      </c>
    </row>
    <row r="31">
      <c r="A31" s="20">
        <v>45894.0</v>
      </c>
      <c r="B31" s="22">
        <v>0.004962280928204739</v>
      </c>
      <c r="C31" s="22">
        <v>-0.016206048328751332</v>
      </c>
    </row>
    <row r="32">
      <c r="A32" s="20">
        <v>45887.0</v>
      </c>
      <c r="B32" s="22">
        <v>0.017957252978276037</v>
      </c>
      <c r="C32" s="22">
        <v>0.0030478955007255983</v>
      </c>
    </row>
    <row r="33">
      <c r="A33" s="20">
        <v>45880.0</v>
      </c>
      <c r="B33" s="22">
        <v>0.022847415106173385</v>
      </c>
      <c r="C33" s="22">
        <v>-0.006058857472590703</v>
      </c>
    </row>
    <row r="34">
      <c r="A34" s="20">
        <v>45873.0</v>
      </c>
      <c r="B34" s="22">
        <v>-0.007587658199709542</v>
      </c>
      <c r="C34" s="22">
        <v>0.02151488358384901</v>
      </c>
    </row>
    <row r="35">
      <c r="A35" s="20">
        <v>45866.0</v>
      </c>
      <c r="B35" s="22">
        <v>-0.04955208744154609</v>
      </c>
      <c r="C35" s="22">
        <v>-0.004401408450704184</v>
      </c>
    </row>
    <row r="36">
      <c r="A36" s="20">
        <v>45859.0</v>
      </c>
      <c r="B36" s="22">
        <v>0.022908682246491792</v>
      </c>
      <c r="C36" s="22">
        <v>-0.009734127560656716</v>
      </c>
    </row>
    <row r="37">
      <c r="A37" s="20">
        <v>45852.0</v>
      </c>
      <c r="B37" s="22">
        <v>0.0032088344125808187</v>
      </c>
      <c r="C37" s="22">
        <v>-2.9048656499631114E-4</v>
      </c>
    </row>
    <row r="38">
      <c r="A38" s="20">
        <v>45845.0</v>
      </c>
      <c r="B38" s="22">
        <v>-0.030466100507301225</v>
      </c>
      <c r="C38" s="22">
        <v>-0.020765182762053875</v>
      </c>
    </row>
    <row r="39">
      <c r="A39" s="20">
        <v>45838.0</v>
      </c>
      <c r="B39" s="22">
        <v>0.02939988459319099</v>
      </c>
      <c r="C39" s="22">
        <v>0.014427932477276006</v>
      </c>
    </row>
    <row r="40">
      <c r="A40" s="20">
        <v>45831.0</v>
      </c>
      <c r="B40" s="22">
        <v>0.0296782626778765</v>
      </c>
      <c r="C40" s="22">
        <v>0.02166863207547168</v>
      </c>
    </row>
    <row r="41">
      <c r="A41" s="20">
        <v>45824.0</v>
      </c>
      <c r="B41" s="22">
        <v>-0.04047775148941019</v>
      </c>
      <c r="C41" s="22">
        <v>-0.023744423658080178</v>
      </c>
    </row>
    <row r="42">
      <c r="A42" s="20">
        <v>45817.0</v>
      </c>
      <c r="B42" s="22">
        <v>-0.04691914801130184</v>
      </c>
      <c r="C42" s="22">
        <v>-0.004726439415640194</v>
      </c>
    </row>
    <row r="43">
      <c r="A43" s="20">
        <v>45810.0</v>
      </c>
      <c r="B43" s="22">
        <v>0.013771069736697148</v>
      </c>
      <c r="C43" s="22">
        <v>-0.010347271438696017</v>
      </c>
    </row>
    <row r="44">
      <c r="A44" s="20">
        <v>45803.0</v>
      </c>
      <c r="B44" s="22">
        <v>0.03294452347083922</v>
      </c>
      <c r="C44" s="22">
        <v>0.004556457354406851</v>
      </c>
    </row>
    <row r="45">
      <c r="A45" s="20">
        <v>45796.0</v>
      </c>
      <c r="B45" s="22">
        <v>-0.03010402582710197</v>
      </c>
      <c r="C45" s="22">
        <v>-0.0031227821149751433</v>
      </c>
    </row>
    <row r="46">
      <c r="A46" s="20">
        <v>45789.0</v>
      </c>
      <c r="B46" s="22">
        <v>0.03569387288523093</v>
      </c>
      <c r="C46" s="22">
        <v>0.02101449275362323</v>
      </c>
    </row>
    <row r="47">
      <c r="A47" s="20">
        <v>45782.0</v>
      </c>
      <c r="B47" s="22">
        <v>0.014202075242015055</v>
      </c>
      <c r="C47" s="22">
        <v>-0.015832263585793746</v>
      </c>
    </row>
    <row r="48">
      <c r="A48" s="20">
        <v>45775.0</v>
      </c>
      <c r="B48" s="22">
        <v>0.037092701695322756</v>
      </c>
      <c r="C48" s="22">
        <v>-0.0035531552018192155</v>
      </c>
    </row>
    <row r="49">
      <c r="A49" s="20">
        <v>45768.0</v>
      </c>
      <c r="B49" s="22">
        <v>0.016872478298080393</v>
      </c>
      <c r="C49" s="22">
        <v>-0.014979700405991982</v>
      </c>
    </row>
    <row r="50">
      <c r="A50" s="20">
        <v>45761.0</v>
      </c>
      <c r="B50" s="22">
        <v>-0.011362262782545603</v>
      </c>
      <c r="C50" s="22">
        <v>0.022034625840606756</v>
      </c>
    </row>
    <row r="51">
      <c r="A51" s="20">
        <v>45754.0</v>
      </c>
      <c r="B51" s="22">
        <v>0.06473616473616475</v>
      </c>
      <c r="C51" s="22">
        <v>0.02133567148911287</v>
      </c>
    </row>
    <row r="52">
      <c r="A52" s="20">
        <v>45747.0</v>
      </c>
      <c r="B52" s="22">
        <v>-0.08668821627975315</v>
      </c>
      <c r="C52" s="22">
        <v>-0.006244554167876744</v>
      </c>
    </row>
    <row r="53">
      <c r="A53" s="20">
        <v>45740.0</v>
      </c>
      <c r="B53" s="22">
        <v>0.02140048623825673</v>
      </c>
      <c r="C53" s="22">
        <v>0.024854889120404847</v>
      </c>
    </row>
    <row r="54">
      <c r="A54" s="20">
        <v>45733.0</v>
      </c>
      <c r="B54" s="22">
        <v>0.01162931924454983</v>
      </c>
      <c r="C54" s="22">
        <v>1.4885382554318108E-4</v>
      </c>
    </row>
    <row r="55">
      <c r="A55" s="20">
        <v>45726.0</v>
      </c>
    </row>
  </sheetData>
  <mergeCells count="3">
    <mergeCell ref="F2:G2"/>
    <mergeCell ref="F4:G4"/>
    <mergeCell ref="J23:K23"/>
  </mergeCells>
  <hyperlinks>
    <hyperlink r:id="rId1" ref="B1"/>
    <hyperlink r:id="rId2" ref="C1"/>
  </hyperlinks>
  <drawing r:id="rId3"/>
</worksheet>
</file>